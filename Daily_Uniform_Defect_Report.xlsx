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asks" sheetId="2" r:id="rId6"/>
    <sheet state="visible" name="UniformReceived" sheetId="3" r:id="rId7"/>
    <sheet state="visible" name="UniformProduction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<sst xmlns="http://schemas.openxmlformats.org/spreadsheetml/2006/main" count="13948" uniqueCount="955">
  <si>
    <t>uniqueID</t>
  </si>
  <si>
    <t>date</t>
  </si>
  <si>
    <t>reportingStaff</t>
  </si>
  <si>
    <t>staffName</t>
  </si>
  <si>
    <t>department</t>
  </si>
  <si>
    <t>item</t>
  </si>
  <si>
    <t>defect</t>
  </si>
  <si>
    <t>quantity</t>
  </si>
  <si>
    <t>createdAt</t>
  </si>
  <si>
    <t>credit</t>
  </si>
  <si>
    <t>inputBy</t>
  </si>
  <si>
    <t>totalCredit</t>
  </si>
  <si>
    <t>remarks</t>
  </si>
  <si>
    <t>uniformType</t>
  </si>
  <si>
    <t>status</t>
  </si>
  <si>
    <t>uniformOwner</t>
  </si>
  <si>
    <t>tailor</t>
  </si>
  <si>
    <t>repairResult</t>
  </si>
  <si>
    <t>whatReceived</t>
  </si>
  <si>
    <t>PRD-180826-000003</t>
  </si>
  <si>
    <t>tailorRemarks</t>
  </si>
  <si>
    <t>18/08/2026 14:00</t>
  </si>
  <si>
    <t>startAt</t>
  </si>
  <si>
    <t>Kodriyah</t>
  </si>
  <si>
    <t>poNumber</t>
  </si>
  <si>
    <t>Trousers</t>
  </si>
  <si>
    <t>CompletedAt</t>
  </si>
  <si>
    <t>supplierName</t>
  </si>
  <si>
    <t>UD-140826-000008</t>
  </si>
  <si>
    <t>14/08/2026 09:46</t>
  </si>
  <si>
    <t>Prima</t>
  </si>
  <si>
    <t>Joni</t>
  </si>
  <si>
    <t>Finance</t>
  </si>
  <si>
    <t>Kemeja / Shirt</t>
  </si>
  <si>
    <t>Kancing Lepas / Pecah</t>
  </si>
  <si>
    <t>Housekeeping</t>
  </si>
  <si>
    <t>Kancing pecah no 5</t>
  </si>
  <si>
    <t>PRD-180826-000004</t>
  </si>
  <si>
    <t>COMPLETED</t>
  </si>
  <si>
    <t>RCV-180826-000007</t>
  </si>
  <si>
    <t>Jahitan Rapih / Fixed</t>
  </si>
  <si>
    <t>Shirt</t>
  </si>
  <si>
    <t>18/08/2026 15:56</t>
  </si>
  <si>
    <t>14/08/2026 15:08</t>
  </si>
  <si>
    <t>Made</t>
  </si>
  <si>
    <t>Aulia</t>
  </si>
  <si>
    <t>PRD-180826-000013</t>
  </si>
  <si>
    <t>UD-140826-000009</t>
  </si>
  <si>
    <t>18/08/2026 14:07</t>
  </si>
  <si>
    <t>14/08/2026 09:47</t>
  </si>
  <si>
    <t>MOPO 2601 9297</t>
  </si>
  <si>
    <t>Iskandar</t>
  </si>
  <si>
    <t>Khelly</t>
  </si>
  <si>
    <t>Engineering</t>
  </si>
  <si>
    <t>Front Office</t>
  </si>
  <si>
    <t>RCV-180826-000008</t>
  </si>
  <si>
    <t>PRD-180826-000014</t>
  </si>
  <si>
    <t>Kancing pecah</t>
  </si>
  <si>
    <t>Skirt</t>
  </si>
  <si>
    <t>PRD-180826-000015</t>
  </si>
  <si>
    <t>RCV-180826-000009</t>
  </si>
  <si>
    <t>UD-140826-000010</t>
  </si>
  <si>
    <t>18/08/2026 16:02</t>
  </si>
  <si>
    <t>14/08/2026 09:48</t>
  </si>
  <si>
    <t>Mukhlis</t>
  </si>
  <si>
    <t xml:space="preserve">Prima </t>
  </si>
  <si>
    <t xml:space="preserve">Aris Dika </t>
  </si>
  <si>
    <t>Vagas</t>
  </si>
  <si>
    <t>Kitchen / Culinary</t>
  </si>
  <si>
    <t>MOPO 2601 925</t>
  </si>
  <si>
    <t>PRD-180826-000016</t>
  </si>
  <si>
    <t>RCV-180826-000010</t>
  </si>
  <si>
    <t>Kancing lepas</t>
  </si>
  <si>
    <t>Blouse</t>
  </si>
  <si>
    <t>14/08/2026 09:50</t>
  </si>
  <si>
    <t>14/08/2026 15:06</t>
  </si>
  <si>
    <t>PRD-180826-000017</t>
  </si>
  <si>
    <t>UD-140826-000011</t>
  </si>
  <si>
    <t>14/08/2026 15:14</t>
  </si>
  <si>
    <t>RCV-180826-000013</t>
  </si>
  <si>
    <t>18/08/2026 16:22</t>
  </si>
  <si>
    <t>Rama</t>
  </si>
  <si>
    <t>Security</t>
  </si>
  <si>
    <t>Celana / Trousers</t>
  </si>
  <si>
    <t>Eko</t>
  </si>
  <si>
    <t>PRD-180826-000018</t>
  </si>
  <si>
    <t>Kancing hook hilang</t>
  </si>
  <si>
    <t>MOPO 2601 9299</t>
  </si>
  <si>
    <t>SUM of quantity</t>
  </si>
  <si>
    <t>RCV-180826-000014</t>
  </si>
  <si>
    <t>14/08/2026 16:15</t>
  </si>
  <si>
    <t>UD-140826-000012</t>
  </si>
  <si>
    <t>14/08/2026 15:16</t>
  </si>
  <si>
    <t>PRD-180826-000019</t>
  </si>
  <si>
    <t>Rohin</t>
  </si>
  <si>
    <t>RCV-180826-000015</t>
  </si>
  <si>
    <t>18/08/2026 16:24</t>
  </si>
  <si>
    <t>PRD-180826-000020</t>
  </si>
  <si>
    <t>Sadar</t>
  </si>
  <si>
    <t>UD-140826-000013</t>
  </si>
  <si>
    <t>14/08/2026 15:17</t>
  </si>
  <si>
    <t>Yuli</t>
  </si>
  <si>
    <t>PRD-180826-000021</t>
  </si>
  <si>
    <t>18/08/2026 14:08</t>
  </si>
  <si>
    <t>RCV-180826-000016</t>
  </si>
  <si>
    <t>Kancing hook lepas</t>
  </si>
  <si>
    <t>GRE</t>
  </si>
  <si>
    <t>UD-140826-000014</t>
  </si>
  <si>
    <t>PRD-180826-000022</t>
  </si>
  <si>
    <t>14/08/2026 15:18</t>
  </si>
  <si>
    <t>RCV-180826-000017</t>
  </si>
  <si>
    <t>Cook Jacket</t>
  </si>
  <si>
    <t xml:space="preserve">Ali </t>
  </si>
  <si>
    <t>Kancing lepas no 1 dan 4</t>
  </si>
  <si>
    <t>PRD-180826-000023</t>
  </si>
  <si>
    <t>18/08/2026 14:09</t>
  </si>
  <si>
    <t>14/08/2026 16:14</t>
  </si>
  <si>
    <t>Created</t>
  </si>
  <si>
    <t>UD-140826-000015</t>
  </si>
  <si>
    <t>Concierge</t>
  </si>
  <si>
    <t>14/08/2026 15:21</t>
  </si>
  <si>
    <t>Dodi</t>
  </si>
  <si>
    <t>RCV-180826-000018</t>
  </si>
  <si>
    <t>PRD-180826-000024</t>
  </si>
  <si>
    <t>Apron</t>
  </si>
  <si>
    <t>Cloth</t>
  </si>
  <si>
    <t>Jacket</t>
  </si>
  <si>
    <t>Dress</t>
  </si>
  <si>
    <t>PRD-180826-000025</t>
  </si>
  <si>
    <t>Napkin</t>
  </si>
  <si>
    <t>RCV-200826-000005</t>
  </si>
  <si>
    <t>UD-140826-000016</t>
  </si>
  <si>
    <t>20/08/2026 19:54</t>
  </si>
  <si>
    <t>Polo Shirt</t>
  </si>
  <si>
    <t>14/08/2026 15:22</t>
  </si>
  <si>
    <t xml:space="preserve">JOSHUA </t>
  </si>
  <si>
    <t>18/08/2026 14:10</t>
  </si>
  <si>
    <t>Andi KC 68</t>
  </si>
  <si>
    <t>Table Cloth</t>
  </si>
  <si>
    <t>Vest</t>
  </si>
  <si>
    <t>Cinnamon</t>
  </si>
  <si>
    <t>Club</t>
  </si>
  <si>
    <t>Grand Total</t>
  </si>
  <si>
    <t>MOPO26022577</t>
  </si>
  <si>
    <t>PRD-180826-000026</t>
  </si>
  <si>
    <t>Ud. Betadia Baru</t>
  </si>
  <si>
    <t>RCV-200826-000006</t>
  </si>
  <si>
    <t>20/08/2026 19:58</t>
  </si>
  <si>
    <t>UD-140826-000017</t>
  </si>
  <si>
    <t xml:space="preserve">RIDHO </t>
  </si>
  <si>
    <t>14/08/2026 16:36</t>
  </si>
  <si>
    <t>PRD-180826-000027</t>
  </si>
  <si>
    <t>Mail KC 49</t>
  </si>
  <si>
    <t>18/08/2026 14:11</t>
  </si>
  <si>
    <t>MOPO26022579</t>
  </si>
  <si>
    <t>Kancing dlm dan kancing jepret hilang</t>
  </si>
  <si>
    <t>PRD-180826-000028</t>
  </si>
  <si>
    <t>14/08/2026 16:43</t>
  </si>
  <si>
    <t>UD-140826-000018</t>
  </si>
  <si>
    <t>14/08/2026 16:38</t>
  </si>
  <si>
    <t>Iksan KC 59</t>
  </si>
  <si>
    <t>PRD-180826-000029</t>
  </si>
  <si>
    <t>18/08/2026 14:12</t>
  </si>
  <si>
    <t>GSC</t>
  </si>
  <si>
    <t>14/08/2026 16:42</t>
  </si>
  <si>
    <t>UD-140826-000019</t>
  </si>
  <si>
    <t>PRD-180826-000030</t>
  </si>
  <si>
    <t>14/08/2026 16:40</t>
  </si>
  <si>
    <t>Cook jaket M</t>
  </si>
  <si>
    <t>Kancing no 1 lepas</t>
  </si>
  <si>
    <t>PRD-180826-000031</t>
  </si>
  <si>
    <t>18/08/2026 14:13</t>
  </si>
  <si>
    <t>15/08/2026 15:47</t>
  </si>
  <si>
    <t>15/08/2026 15:48</t>
  </si>
  <si>
    <t>UD-140826-000020</t>
  </si>
  <si>
    <t>Zidan</t>
  </si>
  <si>
    <t>PRD-180826-000032</t>
  </si>
  <si>
    <t>Kancing no 4 dan 5 patah</t>
  </si>
  <si>
    <t>PRD-180826-000033</t>
  </si>
  <si>
    <t>18/08/2026 14:16</t>
  </si>
  <si>
    <t>UD-140826-000021</t>
  </si>
  <si>
    <t>14/08/2026 17:50</t>
  </si>
  <si>
    <t>Setiadi</t>
  </si>
  <si>
    <t>IRD</t>
  </si>
  <si>
    <t>Sobek Jahitan</t>
  </si>
  <si>
    <t>PRD-180826-000034</t>
  </si>
  <si>
    <t>Bagian Vesak</t>
  </si>
  <si>
    <t>Mukhlisin</t>
  </si>
  <si>
    <t>18/08/2026 10:45</t>
  </si>
  <si>
    <t>18/08/2026 10:46</t>
  </si>
  <si>
    <t>PRD-180826-000035</t>
  </si>
  <si>
    <t>UD-150826-000001</t>
  </si>
  <si>
    <t>15/08/2026 15:49</t>
  </si>
  <si>
    <t>Entie</t>
  </si>
  <si>
    <t>PRD-180826-000036</t>
  </si>
  <si>
    <t>18/08/2026 14:17</t>
  </si>
  <si>
    <t>15/08/2026 18:52</t>
  </si>
  <si>
    <t>UD-150826-000002</t>
  </si>
  <si>
    <t>15/08/2026 15:50</t>
  </si>
  <si>
    <t>PRD-180826-000037</t>
  </si>
  <si>
    <t>Wildan KC 1</t>
  </si>
  <si>
    <t>PRD-180826-000038</t>
  </si>
  <si>
    <t>UD-150826-000003</t>
  </si>
  <si>
    <t>Yufi KC 57</t>
  </si>
  <si>
    <t>PRD-180826-000039</t>
  </si>
  <si>
    <t>PRD-180826-000040</t>
  </si>
  <si>
    <t>UD-150826-000004</t>
  </si>
  <si>
    <t>18/08/2026 14:19</t>
  </si>
  <si>
    <t>15/08/2026 15:53</t>
  </si>
  <si>
    <t>Eko sec</t>
  </si>
  <si>
    <t>LiFeng</t>
  </si>
  <si>
    <t>Kancing no 5 pecah</t>
  </si>
  <si>
    <t>PRD-180826-000041</t>
  </si>
  <si>
    <t>17/08/2026 14:50</t>
  </si>
  <si>
    <t>UD-150826-000005</t>
  </si>
  <si>
    <t>15/08/2026 15:54</t>
  </si>
  <si>
    <t>Intan fin</t>
  </si>
  <si>
    <t>PRD-180826-000042</t>
  </si>
  <si>
    <t>15/08/2026 18:51</t>
  </si>
  <si>
    <t>PRD-180826-000043</t>
  </si>
  <si>
    <t>UD-150826-000006</t>
  </si>
  <si>
    <t>15/08/2026 15:55</t>
  </si>
  <si>
    <t>Muktar PC/ vincent</t>
  </si>
  <si>
    <t>Purchasing</t>
  </si>
  <si>
    <t>PRD-180826-000044</t>
  </si>
  <si>
    <t>18/08/2026</t>
  </si>
  <si>
    <t>18/08/2026 14:20</t>
  </si>
  <si>
    <t>Azure</t>
  </si>
  <si>
    <t>Banquet</t>
  </si>
  <si>
    <t>UD-150826-000007</t>
  </si>
  <si>
    <t>PRD-180826-000045</t>
  </si>
  <si>
    <t>15/08/2026 15:56</t>
  </si>
  <si>
    <t>Sandy fo</t>
  </si>
  <si>
    <t>Resleting Rusak / Macet</t>
  </si>
  <si>
    <t>Resleting rusak</t>
  </si>
  <si>
    <t>18/08/2026 09:52</t>
  </si>
  <si>
    <t>PRD-180826-000046</t>
  </si>
  <si>
    <t>UD-160826-000001</t>
  </si>
  <si>
    <t>16/08/2026 13:33</t>
  </si>
  <si>
    <t>Wisnu</t>
  </si>
  <si>
    <t>PRD-180826-000047</t>
  </si>
  <si>
    <t>17/08/2026 14:46</t>
  </si>
  <si>
    <t>UD-160826-000002</t>
  </si>
  <si>
    <t>16/08/2026 13:36</t>
  </si>
  <si>
    <t>PRD-180826-000048</t>
  </si>
  <si>
    <t xml:space="preserve">Kevin </t>
  </si>
  <si>
    <t>18/08/2026 14:22</t>
  </si>
  <si>
    <t>Steward</t>
  </si>
  <si>
    <t>PRD-180826-000049</t>
  </si>
  <si>
    <t>UD-160826-000003</t>
  </si>
  <si>
    <t>16/08/2026 13:40</t>
  </si>
  <si>
    <t>Dw/trening</t>
  </si>
  <si>
    <t>PRD-180826-000050</t>
  </si>
  <si>
    <t>18/08/2026 14:23</t>
  </si>
  <si>
    <t>UD-160826-000004</t>
  </si>
  <si>
    <t>16/08/2026 13:44</t>
  </si>
  <si>
    <t>Tasya tr  hk</t>
  </si>
  <si>
    <t>PRD-180826-000051</t>
  </si>
  <si>
    <t>Lainnya</t>
  </si>
  <si>
    <t>PRD-180826-000052</t>
  </si>
  <si>
    <t>18/08/2026 14:24</t>
  </si>
  <si>
    <t>UD-160826-000005</t>
  </si>
  <si>
    <t>16/08/2026 14:55</t>
  </si>
  <si>
    <t>Wellness</t>
  </si>
  <si>
    <t>PRD-180826-000053</t>
  </si>
  <si>
    <t>Huk pasang huk lepas</t>
  </si>
  <si>
    <t>Stitching Fixed</t>
  </si>
  <si>
    <t>18/08/2026 12:15</t>
  </si>
  <si>
    <t>UD-160826-000006</t>
  </si>
  <si>
    <t>PRD-180826-000054</t>
  </si>
  <si>
    <t>16/08/2026 14:57</t>
  </si>
  <si>
    <t>Kevin</t>
  </si>
  <si>
    <t>Pasang kancing pecah</t>
  </si>
  <si>
    <t>PRD-180826-000055</t>
  </si>
  <si>
    <t>MUKHLISIN</t>
  </si>
  <si>
    <t>Bagian kerah sudah rapuh, tidak bisa diperbaiki.</t>
  </si>
  <si>
    <t>18/08/2026 09:22</t>
  </si>
  <si>
    <t>UD-160826-000007</t>
  </si>
  <si>
    <t>PRD-180826-000056</t>
  </si>
  <si>
    <t>16/08/2026 14:59</t>
  </si>
  <si>
    <t>Dw / trening</t>
  </si>
  <si>
    <t>Pasang kancing ilang / lepas</t>
  </si>
  <si>
    <t>PRD-180826-000057</t>
  </si>
  <si>
    <t>UD-160826-000008</t>
  </si>
  <si>
    <t>16/08/2026 15:00</t>
  </si>
  <si>
    <t>Tasya hk tr</t>
  </si>
  <si>
    <t>PRD-180826-000058</t>
  </si>
  <si>
    <t>18/08/2026 14:32</t>
  </si>
  <si>
    <t>Pasang huk lepas</t>
  </si>
  <si>
    <t>PRD-180826-000059</t>
  </si>
  <si>
    <t>UD-170826-000001</t>
  </si>
  <si>
    <t>17/08/2026 14:37</t>
  </si>
  <si>
    <t>Gio fo 22</t>
  </si>
  <si>
    <t>Missing/Loose/Broken Button</t>
  </si>
  <si>
    <t>PRD-180826-000060</t>
  </si>
  <si>
    <t>18/08/2026 14:38</t>
  </si>
  <si>
    <t>Ganti kancing pecah no 1 dan no 2</t>
  </si>
  <si>
    <t>17/08/2026 14:45</t>
  </si>
  <si>
    <t>UD-170826-000002</t>
  </si>
  <si>
    <t>17/08/2026 14:40</t>
  </si>
  <si>
    <t>PRD-180826-000061</t>
  </si>
  <si>
    <t>Yani  mo bar</t>
  </si>
  <si>
    <t>18/08/2026 14:39</t>
  </si>
  <si>
    <t>Ganti kancing pecah no 3 dan tangan sebelah kanan</t>
  </si>
  <si>
    <t>PRD-180826-000062</t>
  </si>
  <si>
    <t>UD-170826-000003</t>
  </si>
  <si>
    <t>17/08/2026 14:43</t>
  </si>
  <si>
    <t>Baju bqk DW</t>
  </si>
  <si>
    <t>PRD-180826-000063</t>
  </si>
  <si>
    <t>Ganti kancing ilang no 1 dan no 4</t>
  </si>
  <si>
    <t>PRD-180826-000064</t>
  </si>
  <si>
    <t>UD-170826-000004</t>
  </si>
  <si>
    <t>18/08/2026 18:40</t>
  </si>
  <si>
    <t>17/08/2026 14:44</t>
  </si>
  <si>
    <t>Kc tr 19</t>
  </si>
  <si>
    <t>PRD-180826-000065</t>
  </si>
  <si>
    <t>Jahit huk lepas</t>
  </si>
  <si>
    <t>18/08/2026 18:41</t>
  </si>
  <si>
    <t>UD-170826-000005</t>
  </si>
  <si>
    <t>17/08/2026 14:54</t>
  </si>
  <si>
    <t>Yuni ird</t>
  </si>
  <si>
    <t>PRD-180826-000066</t>
  </si>
  <si>
    <t>18/08/2026 18:42</t>
  </si>
  <si>
    <t>PRD-180826-000067</t>
  </si>
  <si>
    <t>Ganti resleting</t>
  </si>
  <si>
    <t>18/08/2026 18:43</t>
  </si>
  <si>
    <t>18/08/2026 09:29</t>
  </si>
  <si>
    <t>18/08/2026 09:40</t>
  </si>
  <si>
    <t>UD-170826-000006</t>
  </si>
  <si>
    <t>17/08/2026 14:56</t>
  </si>
  <si>
    <t>Chan tr</t>
  </si>
  <si>
    <t>PRD-180826-000068</t>
  </si>
  <si>
    <t>18/08/2026 18:44</t>
  </si>
  <si>
    <t>robek bagian ketek kanan</t>
  </si>
  <si>
    <t>PRD-190826-000025</t>
  </si>
  <si>
    <t>19/08/2026 13:24</t>
  </si>
  <si>
    <t>Bagian kerah sudah rapuh tidak bisa diperbaiki lagi.</t>
  </si>
  <si>
    <t>18/08/2026 09:06</t>
  </si>
  <si>
    <t>18/08/2026 09:25</t>
  </si>
  <si>
    <t>UD-170826-000007</t>
  </si>
  <si>
    <t>17/08/2026 14:59</t>
  </si>
  <si>
    <t xml:space="preserve">Syla tr </t>
  </si>
  <si>
    <t>PRD-190826-000026</t>
  </si>
  <si>
    <t>Robek bagian ketek kanan</t>
  </si>
  <si>
    <t>PRD-190826-000027</t>
  </si>
  <si>
    <t>19/08/2026 15:19</t>
  </si>
  <si>
    <t>19/08/2026 15:27</t>
  </si>
  <si>
    <t>UD-170826-000008</t>
  </si>
  <si>
    <t>17/08/2026 15:00</t>
  </si>
  <si>
    <t>Fdil tr</t>
  </si>
  <si>
    <t>PRD-190826-000028</t>
  </si>
  <si>
    <t>19/08/2026 13:25</t>
  </si>
  <si>
    <t>18/08/2026 11:27</t>
  </si>
  <si>
    <t>PRD-190826-000029</t>
  </si>
  <si>
    <t>UD-170826-000009</t>
  </si>
  <si>
    <t>17/08/2026 15:49</t>
  </si>
  <si>
    <t>Darman</t>
  </si>
  <si>
    <t>Kancing hilang 1</t>
  </si>
  <si>
    <t>PRD-190826-000030</t>
  </si>
  <si>
    <t>UD-170826-000010</t>
  </si>
  <si>
    <t>17/08/2026 19:51</t>
  </si>
  <si>
    <t>Sahrul</t>
  </si>
  <si>
    <t>PRD-190826-000031</t>
  </si>
  <si>
    <t>19/08/2026 13:26</t>
  </si>
  <si>
    <t>Kancing bawah hilang 1</t>
  </si>
  <si>
    <t>PRD-190826-000032</t>
  </si>
  <si>
    <t>IT</t>
  </si>
  <si>
    <t>UD-180826-000001</t>
  </si>
  <si>
    <t>18/08/2026 05:47</t>
  </si>
  <si>
    <t>Mimim</t>
  </si>
  <si>
    <t>PRD-190826-000033</t>
  </si>
  <si>
    <t>Ketiak sebelah kanan sobek</t>
  </si>
  <si>
    <t xml:space="preserve">Ganti resleting </t>
  </si>
  <si>
    <t>PRD-190826-000034</t>
  </si>
  <si>
    <t>18/08/2026 12:20</t>
  </si>
  <si>
    <t>19/08/2026 13:29</t>
  </si>
  <si>
    <t>UD-180826-000003</t>
  </si>
  <si>
    <t>18/08/2026 09:49</t>
  </si>
  <si>
    <t>Lovita</t>
  </si>
  <si>
    <t>PRD-190826-000035</t>
  </si>
  <si>
    <t>Jahitan bagian pecah robek</t>
  </si>
  <si>
    <t>Ok</t>
  </si>
  <si>
    <t>18/08/2026 12:36</t>
  </si>
  <si>
    <t>PRD-190826-000036</t>
  </si>
  <si>
    <t>18/08/2026 10:53</t>
  </si>
  <si>
    <t>Abighya/Tr</t>
  </si>
  <si>
    <t>Zipper Broken / Stuck</t>
  </si>
  <si>
    <t>PRD-190826-000037</t>
  </si>
  <si>
    <t>Resleting diganti</t>
  </si>
  <si>
    <t>18/08/2026 11:13</t>
  </si>
  <si>
    <t>18/08/2026 11:31</t>
  </si>
  <si>
    <t>PRD-190826-000038</t>
  </si>
  <si>
    <t>UD-180826-000002</t>
  </si>
  <si>
    <t>19/08/2026 13:31</t>
  </si>
  <si>
    <t>18/08/2026 10:54</t>
  </si>
  <si>
    <t>Zahra/DW</t>
  </si>
  <si>
    <t>Others</t>
  </si>
  <si>
    <t>PRD-190826-000039</t>
  </si>
  <si>
    <t>Kancing jepret jahitan lepas</t>
  </si>
  <si>
    <t>Done</t>
  </si>
  <si>
    <t>MO Bar</t>
  </si>
  <si>
    <t>18/08/2026 10:55</t>
  </si>
  <si>
    <t>PRD-190826-000040</t>
  </si>
  <si>
    <t>18/08/2026 11:36</t>
  </si>
  <si>
    <t>Azzahra Keisha Namira</t>
  </si>
  <si>
    <t>Alteration</t>
  </si>
  <si>
    <t>PRD-190826-000041</t>
  </si>
  <si>
    <t>Panjang dress dikurangin atau dipendekin</t>
  </si>
  <si>
    <t xml:space="preserve">Mukhlis </t>
  </si>
  <si>
    <t>Jahitan rapih</t>
  </si>
  <si>
    <t>UD-180826-000005</t>
  </si>
  <si>
    <t>PRD-190826-000042</t>
  </si>
  <si>
    <t>18/08/2026 12:39</t>
  </si>
  <si>
    <t>19/08/2026 13:32</t>
  </si>
  <si>
    <t>P&amp;C</t>
  </si>
  <si>
    <t>Haris</t>
  </si>
  <si>
    <t>Laundry</t>
  </si>
  <si>
    <t>Torn Stitching</t>
  </si>
  <si>
    <t xml:space="preserve">Robek jahitan </t>
  </si>
  <si>
    <t>PRD-190826-000043</t>
  </si>
  <si>
    <t>UD-180826-000006</t>
  </si>
  <si>
    <t>18/08/2026 14:35</t>
  </si>
  <si>
    <t>PRD-190826-000044</t>
  </si>
  <si>
    <t xml:space="preserve">KATHLEEN VICTORIA </t>
  </si>
  <si>
    <t>Sales &amp; Executive</t>
  </si>
  <si>
    <t>Fitting uniform (New College)</t>
  </si>
  <si>
    <t>18/08/2026 14:37</t>
  </si>
  <si>
    <t>UD-180826-000007</t>
  </si>
  <si>
    <t>Keisha</t>
  </si>
  <si>
    <t>PRD-190826-000045</t>
  </si>
  <si>
    <t>Tangan jaket kepanjangan</t>
  </si>
  <si>
    <t>PRD-190826-000046</t>
  </si>
  <si>
    <t>UD-180826-000008</t>
  </si>
  <si>
    <t>18/08/2026 14:44</t>
  </si>
  <si>
    <t>Torn Fabric</t>
  </si>
  <si>
    <t>PRD-190826-000047</t>
  </si>
  <si>
    <t>Kantong robek</t>
  </si>
  <si>
    <t>Furing kantong ditambal</t>
  </si>
  <si>
    <t>PRD-190826-000048</t>
  </si>
  <si>
    <t>UD-180826-000009</t>
  </si>
  <si>
    <t>18/08/2026 14:45</t>
  </si>
  <si>
    <t>PRD-190826-000049</t>
  </si>
  <si>
    <t>Lingkar pinggang sempit</t>
  </si>
  <si>
    <t>Celana di tambal dengan kain bagian sampingnya</t>
  </si>
  <si>
    <t>19/08/2026 21:41</t>
  </si>
  <si>
    <t>19/08/2026 21:43</t>
  </si>
  <si>
    <t>PRD-190826-000050</t>
  </si>
  <si>
    <t>UD-190826-000004</t>
  </si>
  <si>
    <t>19/08/2026 13:19</t>
  </si>
  <si>
    <t>19/08/2026 13:33</t>
  </si>
  <si>
    <t>PRD-190826-000051</t>
  </si>
  <si>
    <t>Lengan bagian kanan jaitan lepas</t>
  </si>
  <si>
    <t>19/08/2026 15:24</t>
  </si>
  <si>
    <t>UD-190826-000005</t>
  </si>
  <si>
    <t>19/08/2026 13:21</t>
  </si>
  <si>
    <t>PRD-190826-000052</t>
  </si>
  <si>
    <t>19/08/2026 13:34</t>
  </si>
  <si>
    <t>Andi abror</t>
  </si>
  <si>
    <t>PRD-190826-000053</t>
  </si>
  <si>
    <t>Pesak kanan dan kiri pada sobek</t>
  </si>
  <si>
    <t>Pesak ditambal kain</t>
  </si>
  <si>
    <t>UD-190826-000006</t>
  </si>
  <si>
    <t>19/08/2026 14:42</t>
  </si>
  <si>
    <t>PRD-190826-000054</t>
  </si>
  <si>
    <t>19/08/2026 13:35</t>
  </si>
  <si>
    <t>Kancing copot 2 pcs</t>
  </si>
  <si>
    <t>PRD-190826-000055</t>
  </si>
  <si>
    <t>20/08/2026 21:11</t>
  </si>
  <si>
    <t>20/08/2026 21:12</t>
  </si>
  <si>
    <t>UD-190826-000007</t>
  </si>
  <si>
    <t>PRD-190826-000056</t>
  </si>
  <si>
    <t>19/08/2026 14:52</t>
  </si>
  <si>
    <t>19/08/2026 13:36</t>
  </si>
  <si>
    <t>Putu</t>
  </si>
  <si>
    <t>PRD-190826-000057</t>
  </si>
  <si>
    <t>Ganti kancing no 6 pcah</t>
  </si>
  <si>
    <t>19/08/2026 16:34</t>
  </si>
  <si>
    <t>PRD-190826-000058</t>
  </si>
  <si>
    <t>UD-190826-000009</t>
  </si>
  <si>
    <t>19/08/2026 14:57</t>
  </si>
  <si>
    <t>19/08/2026 13:37</t>
  </si>
  <si>
    <t>Hafiiidh</t>
  </si>
  <si>
    <t>Ganti kancing no 4 pecah</t>
  </si>
  <si>
    <t>PRD-190826-000059</t>
  </si>
  <si>
    <t>19/08/2026 14:58</t>
  </si>
  <si>
    <t>UD-190826-000010</t>
  </si>
  <si>
    <t>19/08/2026 15:11</t>
  </si>
  <si>
    <t>PRD-190826-000060</t>
  </si>
  <si>
    <t>Hadi/Tr</t>
  </si>
  <si>
    <t>Lingkar pinggang kegedean</t>
  </si>
  <si>
    <t>PRD-190826-000061</t>
  </si>
  <si>
    <t>19/08/2026 13:39</t>
  </si>
  <si>
    <t>Pakai baju baru ukuran XL</t>
  </si>
  <si>
    <t>19/08/2026 15:18</t>
  </si>
  <si>
    <t>UD-190826-000011</t>
  </si>
  <si>
    <t>PRD-190826-000062</t>
  </si>
  <si>
    <t>Lingkar tangan kegedean</t>
  </si>
  <si>
    <t>PRD-190826-000063</t>
  </si>
  <si>
    <t>19/08/2026 15:23</t>
  </si>
  <si>
    <t>UD-190826-000012</t>
  </si>
  <si>
    <t>19/08/2026 15:13</t>
  </si>
  <si>
    <t>Rizki/Tr</t>
  </si>
  <si>
    <t>PRD-190826-000064</t>
  </si>
  <si>
    <t>PRD-190826-000065</t>
  </si>
  <si>
    <t>UD-190826-000013</t>
  </si>
  <si>
    <t>PRD-190826-000066</t>
  </si>
  <si>
    <t>19/08/2026 13:41</t>
  </si>
  <si>
    <t>PRD-190826-000067</t>
  </si>
  <si>
    <t>19/08/2026 15:21</t>
  </si>
  <si>
    <t>UD-190826-000014</t>
  </si>
  <si>
    <t>19/08/2026 16:28</t>
  </si>
  <si>
    <t>Sabrina</t>
  </si>
  <si>
    <t>PRD-190826-000068</t>
  </si>
  <si>
    <t>19/08/2026 16:30</t>
  </si>
  <si>
    <t>19/08/2026 16:31</t>
  </si>
  <si>
    <t>PRD-190826-000069</t>
  </si>
  <si>
    <t>UD-190826-000015</t>
  </si>
  <si>
    <t>19/08/2026 19:08</t>
  </si>
  <si>
    <t>PRD-190826-000070</t>
  </si>
  <si>
    <t>Lingkar badan kegedean</t>
  </si>
  <si>
    <t>Kupnat bagian belakang dikurangin 1 cm</t>
  </si>
  <si>
    <t>19/08/2026 21:22</t>
  </si>
  <si>
    <t>19/08/2026 21:23</t>
  </si>
  <si>
    <t>PRD-190826-000071</t>
  </si>
  <si>
    <t>UD-190826-000016</t>
  </si>
  <si>
    <t>19/08/2026 21:01</t>
  </si>
  <si>
    <t xml:space="preserve">Entie </t>
  </si>
  <si>
    <t>PRD-190826-000072</t>
  </si>
  <si>
    <t>19/08/2026 13:42</t>
  </si>
  <si>
    <t>Linggar pinggang kegedean</t>
  </si>
  <si>
    <t>Dikurangin 6 cm</t>
  </si>
  <si>
    <t>19/08/2026 21:21</t>
  </si>
  <si>
    <t>PRD-190826-000073</t>
  </si>
  <si>
    <t>UD-190826-000017</t>
  </si>
  <si>
    <t>19/08/2026 21:03</t>
  </si>
  <si>
    <t xml:space="preserve">Aulia </t>
  </si>
  <si>
    <t>PRD-190826-000074</t>
  </si>
  <si>
    <t>19/08/2026 13:45</t>
  </si>
  <si>
    <t xml:space="preserve">Pasang kode uniform </t>
  </si>
  <si>
    <t xml:space="preserve">Pakai bekas Gerald </t>
  </si>
  <si>
    <t>PRD-190826-000075</t>
  </si>
  <si>
    <t>UD-190826-000018</t>
  </si>
  <si>
    <t>19/08/2026 21:05</t>
  </si>
  <si>
    <t>Aulia /Tr</t>
  </si>
  <si>
    <t>PRD-190826-000076</t>
  </si>
  <si>
    <t xml:space="preserve">Pemasangan kode uniform </t>
  </si>
  <si>
    <t>Pakai celana bekas Gerald / IRD 10</t>
  </si>
  <si>
    <t>19/08/2026 21:09</t>
  </si>
  <si>
    <t>PRD-190826-000077</t>
  </si>
  <si>
    <t>UD-190826-000019</t>
  </si>
  <si>
    <t>19/08/2026 21:06</t>
  </si>
  <si>
    <t>Aulia /TR</t>
  </si>
  <si>
    <t>PRD-190826-000078</t>
  </si>
  <si>
    <t>Pakai bekas Ali/Tr</t>
  </si>
  <si>
    <t>19/08/2026 21:49</t>
  </si>
  <si>
    <t>PRD-190826-000086</t>
  </si>
  <si>
    <t>UD-190826-000020</t>
  </si>
  <si>
    <t>19/08/2026 21:39</t>
  </si>
  <si>
    <t>19/08/2026 13:53</t>
  </si>
  <si>
    <t>Refa/TR</t>
  </si>
  <si>
    <t>PRD-190826-000087</t>
  </si>
  <si>
    <t>Penggantian kode uniform</t>
  </si>
  <si>
    <t>Pakai bekas Anggi/tr</t>
  </si>
  <si>
    <t>19/08/2026 21:42</t>
  </si>
  <si>
    <t>UD-190826-000021</t>
  </si>
  <si>
    <t>PRD-190826-000088</t>
  </si>
  <si>
    <t>PRD-190826-000089</t>
  </si>
  <si>
    <t>19/08/2026 13:55</t>
  </si>
  <si>
    <t>Pakai bekas Kayla/tr</t>
  </si>
  <si>
    <t>UD-190826-000022</t>
  </si>
  <si>
    <t>19/08/2026 21:50</t>
  </si>
  <si>
    <t>PRD-190826-000090</t>
  </si>
  <si>
    <t>Devgan/New trenee</t>
  </si>
  <si>
    <t>Pemasangan kode uniform</t>
  </si>
  <si>
    <t>PRD-190826-000091</t>
  </si>
  <si>
    <t>19/08/2026 14:01</t>
  </si>
  <si>
    <t>Pakai bekas KC3/Alfi</t>
  </si>
  <si>
    <t>19/08/2026 21:51</t>
  </si>
  <si>
    <t>UD-190826-000023</t>
  </si>
  <si>
    <t>PRD-190826-000092</t>
  </si>
  <si>
    <t>19/08/2026 21:52</t>
  </si>
  <si>
    <t>Devgan</t>
  </si>
  <si>
    <t>PRD-190826-000093</t>
  </si>
  <si>
    <t xml:space="preserve">Penggalian kode uniform </t>
  </si>
  <si>
    <t>19/08/2026 14:04</t>
  </si>
  <si>
    <t>19/08/2026 21:53</t>
  </si>
  <si>
    <t>UD-190826-000024</t>
  </si>
  <si>
    <t>PRD-190826-000094</t>
  </si>
  <si>
    <t>19/08/2026 22:26</t>
  </si>
  <si>
    <t>Nafia/TR</t>
  </si>
  <si>
    <t>PRD-190826-000095</t>
  </si>
  <si>
    <t>Panjang celana ditambahin 3 cm</t>
  </si>
  <si>
    <t>19/08/2026 22:27</t>
  </si>
  <si>
    <t>19/08/2026 22:28</t>
  </si>
  <si>
    <t>PRD-190826-000096</t>
  </si>
  <si>
    <t>UD-190826-000025</t>
  </si>
  <si>
    <t>PRD-190826-000097</t>
  </si>
  <si>
    <t>Pakai baju dan celana bekas Tasya/TR</t>
  </si>
  <si>
    <t>19/08/2026 14:08</t>
  </si>
  <si>
    <t>UD-190826-000026</t>
  </si>
  <si>
    <t>19/08/2026 22:30</t>
  </si>
  <si>
    <t>PRD-190826-000098</t>
  </si>
  <si>
    <t>Alfon</t>
  </si>
  <si>
    <t>Jahitan pesat robek</t>
  </si>
  <si>
    <t>OPEN</t>
  </si>
  <si>
    <t>PRD-190826-000099</t>
  </si>
  <si>
    <t>UD-190826-000027</t>
  </si>
  <si>
    <t>19/08/2026 22:46</t>
  </si>
  <si>
    <t>Dwi/DW</t>
  </si>
  <si>
    <t>PRD-190826-000100</t>
  </si>
  <si>
    <t>19/08/2026 14:10</t>
  </si>
  <si>
    <t>Missing/Loose/Hook</t>
  </si>
  <si>
    <t>Celana jahitan lepas</t>
  </si>
  <si>
    <t>PRD-190826-000101</t>
  </si>
  <si>
    <t>19/08/2026 14:14</t>
  </si>
  <si>
    <t>UD-190826-000028</t>
  </si>
  <si>
    <t>19/08/2026 22:49</t>
  </si>
  <si>
    <t>PRD-190826-000102</t>
  </si>
  <si>
    <t>Anita/HK,TR</t>
  </si>
  <si>
    <t>19/08/2026 14:15</t>
  </si>
  <si>
    <t xml:space="preserve">Kancing nomor 2 dari depan </t>
  </si>
  <si>
    <t>PRD-190826-000103</t>
  </si>
  <si>
    <t>UD-200826-000002</t>
  </si>
  <si>
    <t>20/08/2026 14:06</t>
  </si>
  <si>
    <t xml:space="preserve">Wildan </t>
  </si>
  <si>
    <t>PRD-190826-000104</t>
  </si>
  <si>
    <t>Kantong celana robek</t>
  </si>
  <si>
    <t>20/08/2026 14:09</t>
  </si>
  <si>
    <t>UD-200826-000003</t>
  </si>
  <si>
    <t>PRD-190826-000105</t>
  </si>
  <si>
    <t>20/08/2026 14:07</t>
  </si>
  <si>
    <t>19/08/2026 14:16</t>
  </si>
  <si>
    <t>Maulani</t>
  </si>
  <si>
    <t>Hook hilang</t>
  </si>
  <si>
    <t>PRD-190826-000106</t>
  </si>
  <si>
    <t>21/08/2026 07:33</t>
  </si>
  <si>
    <t>UD-200826-000004</t>
  </si>
  <si>
    <t>20/08/2026 14:08</t>
  </si>
  <si>
    <t xml:space="preserve">Napkin </t>
  </si>
  <si>
    <t>PRD-190826-000107</t>
  </si>
  <si>
    <t xml:space="preserve">Nagin ooo lifeng dijadikan gelas cloth </t>
  </si>
  <si>
    <t>PRD-190826-000108</t>
  </si>
  <si>
    <t>17 pcs</t>
  </si>
  <si>
    <t>UD-200826-000005</t>
  </si>
  <si>
    <t>PRD-190826-000109</t>
  </si>
  <si>
    <t>Nasir</t>
  </si>
  <si>
    <t>Kancing no 5 broken</t>
  </si>
  <si>
    <t>IN_PROGRESS</t>
  </si>
  <si>
    <t>PRD-190826-000110</t>
  </si>
  <si>
    <t>19/08/2026 14:18</t>
  </si>
  <si>
    <t>UD-200826-000006</t>
  </si>
  <si>
    <t>Anita</t>
  </si>
  <si>
    <t>PRD-190826-000111</t>
  </si>
  <si>
    <t>19/08/2026 14:26</t>
  </si>
  <si>
    <t>PRD-190826-000112</t>
  </si>
  <si>
    <t>19/08/2026 14:27</t>
  </si>
  <si>
    <t>UD-200826-000007</t>
  </si>
  <si>
    <t>20/08/2026 14:10</t>
  </si>
  <si>
    <t>PRD-190826-000113</t>
  </si>
  <si>
    <t>Adi</t>
  </si>
  <si>
    <t>Hook lepas</t>
  </si>
  <si>
    <t>PRD-190826-000114</t>
  </si>
  <si>
    <t>19/08/2026 14:34</t>
  </si>
  <si>
    <t>UD-200826-000008</t>
  </si>
  <si>
    <t>20/08/2026 14:11</t>
  </si>
  <si>
    <t>PRD-190826-000115</t>
  </si>
  <si>
    <t>19/08/2026 14:36</t>
  </si>
  <si>
    <t>Kantong pada robek</t>
  </si>
  <si>
    <t>PRD-190826-000121</t>
  </si>
  <si>
    <t>19/08/2026 20:49</t>
  </si>
  <si>
    <t>UD-200826-000009</t>
  </si>
  <si>
    <t>20/08/2026 14:12</t>
  </si>
  <si>
    <t>Vincent</t>
  </si>
  <si>
    <t>PRD-190826-000122</t>
  </si>
  <si>
    <t>19/08/2026 20:50</t>
  </si>
  <si>
    <t>PRD-190826-000123</t>
  </si>
  <si>
    <t>UD-200826-000010</t>
  </si>
  <si>
    <t>20/08/2026 14:14</t>
  </si>
  <si>
    <t>Yasmin</t>
  </si>
  <si>
    <t>PRD-190826-000124</t>
  </si>
  <si>
    <t>19/08/2026 20:51</t>
  </si>
  <si>
    <t>PRD-200826-000003</t>
  </si>
  <si>
    <t>UD-200826-000011</t>
  </si>
  <si>
    <t>20/08/2026 14:46</t>
  </si>
  <si>
    <t>20/08/2026 14:16</t>
  </si>
  <si>
    <t>PRD-200826-000004</t>
  </si>
  <si>
    <t>Kancing atas lepas</t>
  </si>
  <si>
    <t>20/08/2026 14:47</t>
  </si>
  <si>
    <t>UD-200826-000012</t>
  </si>
  <si>
    <t>20/08/2026 14:17</t>
  </si>
  <si>
    <t>PRD-200826-000005</t>
  </si>
  <si>
    <t>Teguh</t>
  </si>
  <si>
    <t>Kancing dalam lepas</t>
  </si>
  <si>
    <t>PRD-200826-000006</t>
  </si>
  <si>
    <t>20/08/2026 14:48</t>
  </si>
  <si>
    <t>21/08/2026 07:32</t>
  </si>
  <si>
    <t>UD-200826-000013</t>
  </si>
  <si>
    <t>20/08/2026 14:18</t>
  </si>
  <si>
    <t>PRD-200826-000007</t>
  </si>
  <si>
    <t>Emma</t>
  </si>
  <si>
    <t>PRD-200826-000008</t>
  </si>
  <si>
    <t>20/08/2026 14:51</t>
  </si>
  <si>
    <t>UD-200826-000014</t>
  </si>
  <si>
    <t>20/08/2026 14:20</t>
  </si>
  <si>
    <t>PRD-200826-000009</t>
  </si>
  <si>
    <t>Erico</t>
  </si>
  <si>
    <t>Kancing dalam 1 dan kancing atas 1</t>
  </si>
  <si>
    <t>PRD-200826-000010</t>
  </si>
  <si>
    <t>UD-200826-000015</t>
  </si>
  <si>
    <t>20/08/2026 15:29</t>
  </si>
  <si>
    <t>PRD-200826-000011</t>
  </si>
  <si>
    <t>Guest 2303</t>
  </si>
  <si>
    <t>Other</t>
  </si>
  <si>
    <t>20/08/2026 14:54</t>
  </si>
  <si>
    <t>Celana pendek tamu jahitan lepas atau robek</t>
  </si>
  <si>
    <t>PRD-200826-000012</t>
  </si>
  <si>
    <t>20/08/2026 15:30</t>
  </si>
  <si>
    <t>UD-200826-000016</t>
  </si>
  <si>
    <t>20/08/2026 20:13</t>
  </si>
  <si>
    <t>Gazi/TR</t>
  </si>
  <si>
    <t>19/08/2026</t>
  </si>
  <si>
    <t>PRD-200826-000013</t>
  </si>
  <si>
    <t>PRD-200826-000014</t>
  </si>
  <si>
    <t>20/08/2026 21:10</t>
  </si>
  <si>
    <t>UD-200826-000017</t>
  </si>
  <si>
    <t>20/08/2026 20:14</t>
  </si>
  <si>
    <t>Zayyan/TR</t>
  </si>
  <si>
    <t>PRD-200826-000015</t>
  </si>
  <si>
    <t>Jahitan bagian lengan Robek</t>
  </si>
  <si>
    <t>PRD-200826-000016</t>
  </si>
  <si>
    <t>UD-200826-000018</t>
  </si>
  <si>
    <t>20/08/2026 20:46</t>
  </si>
  <si>
    <t>Kiki/FB Dir</t>
  </si>
  <si>
    <t>PRD-200826-000017</t>
  </si>
  <si>
    <t>20/08/2026 14:55</t>
  </si>
  <si>
    <t>Jahitan bagian paha robek</t>
  </si>
  <si>
    <t>PRD-200826-000018</t>
  </si>
  <si>
    <t>UD-210826-000001</t>
  </si>
  <si>
    <t>21/08/2026 13:08</t>
  </si>
  <si>
    <t>Size L</t>
  </si>
  <si>
    <t>PRD-200826-000019</t>
  </si>
  <si>
    <t>20/08/2026 14:56</t>
  </si>
  <si>
    <t>Kancing atas dan kancing dalam hilang</t>
  </si>
  <si>
    <t>22/08/2026 07:47</t>
  </si>
  <si>
    <t>PRD-200826-000020</t>
  </si>
  <si>
    <t>UD-210826-000002</t>
  </si>
  <si>
    <t>21/08/2026 13:09</t>
  </si>
  <si>
    <t>Riski</t>
  </si>
  <si>
    <t>PRD-200826-000021</t>
  </si>
  <si>
    <t>20/08/2026 14:57</t>
  </si>
  <si>
    <t>21/08/2026 16:38</t>
  </si>
  <si>
    <t>UD-210826-000003</t>
  </si>
  <si>
    <t>PRD-200826-000022</t>
  </si>
  <si>
    <t>21/08/2026 13:10</t>
  </si>
  <si>
    <t>PRD-200826-000023</t>
  </si>
  <si>
    <t>Kancing no 1 dan kancing dalam lepas</t>
  </si>
  <si>
    <t>UD-210826-000006</t>
  </si>
  <si>
    <t>21/08/2026 15:20</t>
  </si>
  <si>
    <t>PRD-200826-000024</t>
  </si>
  <si>
    <t>Anugrah</t>
  </si>
  <si>
    <t>20/08/2026 14:58</t>
  </si>
  <si>
    <t>Kancing jas hilang 1 bagian depan</t>
  </si>
  <si>
    <t>PRD-200826-000025</t>
  </si>
  <si>
    <t>UD-210826-000007</t>
  </si>
  <si>
    <t>21/08/2026 15:22</t>
  </si>
  <si>
    <t>Nupri</t>
  </si>
  <si>
    <t>PRD-200826-000026</t>
  </si>
  <si>
    <t>2 kancing rusak</t>
  </si>
  <si>
    <t>PRD-200826-000027</t>
  </si>
  <si>
    <t>PRD-200826-000028</t>
  </si>
  <si>
    <t>21/08/2026 16:37</t>
  </si>
  <si>
    <t>PRD-200826-000029</t>
  </si>
  <si>
    <t>UD-210826-000008</t>
  </si>
  <si>
    <t>21/08/2026 15:23</t>
  </si>
  <si>
    <t>Muktar</t>
  </si>
  <si>
    <t>PRD-200826-000030</t>
  </si>
  <si>
    <t>20/08/2026 15:01</t>
  </si>
  <si>
    <t>PRD-200826-000031</t>
  </si>
  <si>
    <t>1 kancing broken</t>
  </si>
  <si>
    <t>PRD-200826-000032</t>
  </si>
  <si>
    <t>UD-210826-000009</t>
  </si>
  <si>
    <t>21/08/2026 15:25</t>
  </si>
  <si>
    <t>PRD-200826-000033</t>
  </si>
  <si>
    <t>PRD-200826-000034</t>
  </si>
  <si>
    <t>20/08/2026 15:02</t>
  </si>
  <si>
    <t>UD-210826-000010</t>
  </si>
  <si>
    <t>21/08/2026 15:26</t>
  </si>
  <si>
    <t>Agung</t>
  </si>
  <si>
    <t>PRD-200826-000035</t>
  </si>
  <si>
    <t>PRD-200826-000036</t>
  </si>
  <si>
    <t>UD-210826-000011</t>
  </si>
  <si>
    <t>21/08/2026 15:27</t>
  </si>
  <si>
    <t>PRD-200826-000037</t>
  </si>
  <si>
    <t>Mail</t>
  </si>
  <si>
    <t>PRD-200826-000038</t>
  </si>
  <si>
    <t>20/08/2026 15:04</t>
  </si>
  <si>
    <t>UD-220826-000001</t>
  </si>
  <si>
    <t>22/08/2026 07:40</t>
  </si>
  <si>
    <t>PRD-200826-000039</t>
  </si>
  <si>
    <t>Defri</t>
  </si>
  <si>
    <t>Robek bagian pesak</t>
  </si>
  <si>
    <t>PRD-200826-000040</t>
  </si>
  <si>
    <t>20/08/2026 15:05</t>
  </si>
  <si>
    <t>UD-220826-000002</t>
  </si>
  <si>
    <t>22/08/2026 07:42</t>
  </si>
  <si>
    <t>PRD-200826-000041</t>
  </si>
  <si>
    <t>Kancing lepas 1</t>
  </si>
  <si>
    <t>UD-220826-000003</t>
  </si>
  <si>
    <t>22/08/2026 07:43</t>
  </si>
  <si>
    <t>PRD-200826-000042</t>
  </si>
  <si>
    <t>Muti HK tr</t>
  </si>
  <si>
    <t>20/08/2026 15:09</t>
  </si>
  <si>
    <t>PRD-200826-000043</t>
  </si>
  <si>
    <t>UD-220826-000004</t>
  </si>
  <si>
    <t>22/08/2026 07:44</t>
  </si>
  <si>
    <t>Rian</t>
  </si>
  <si>
    <t>PRD-200826-000044</t>
  </si>
  <si>
    <t>UD-220826-000005</t>
  </si>
  <si>
    <t>22/08/2026 07:45</t>
  </si>
  <si>
    <t>Amel gsc</t>
  </si>
  <si>
    <t>PRD-200826-000045</t>
  </si>
  <si>
    <t>PRD-200826-000046</t>
  </si>
  <si>
    <t>22/08/2026 07:48</t>
  </si>
  <si>
    <t>UD-220826-000006</t>
  </si>
  <si>
    <t>22/08/2026 09:35</t>
  </si>
  <si>
    <t>PRD-200826-000047</t>
  </si>
  <si>
    <t>20/08/2026 15:10</t>
  </si>
  <si>
    <t>Kancing 1 patah</t>
  </si>
  <si>
    <t>PRD-200826-000048</t>
  </si>
  <si>
    <t>PRD-200826-000049</t>
  </si>
  <si>
    <t>PRD-200826-000050</t>
  </si>
  <si>
    <t>PRD-200826-000051</t>
  </si>
  <si>
    <t>20/08/2026 15:12</t>
  </si>
  <si>
    <t>PRD-200826-000052</t>
  </si>
  <si>
    <t>PRD-200826-000053</t>
  </si>
  <si>
    <t>20/08/2026 15:13</t>
  </si>
  <si>
    <t>PRD-200826-000054</t>
  </si>
  <si>
    <t>PRD-200826-000055</t>
  </si>
  <si>
    <t>PRD-200826-000056</t>
  </si>
  <si>
    <t>20/08/2026 15:14</t>
  </si>
  <si>
    <t>PRD-200826-000057</t>
  </si>
  <si>
    <t>PRD-200826-000058</t>
  </si>
  <si>
    <t>20/08/2026 15:15</t>
  </si>
  <si>
    <t>PRD-200826-000059</t>
  </si>
  <si>
    <t>PRD-200826-000060</t>
  </si>
  <si>
    <t>20/08/2026 16:47</t>
  </si>
  <si>
    <t>PRD-200826-000061</t>
  </si>
  <si>
    <t>PRD-200826-000062</t>
  </si>
  <si>
    <t>20/08/2026 16:50</t>
  </si>
  <si>
    <t>PRD-200826-000063</t>
  </si>
  <si>
    <t>PRD-210826-000001</t>
  </si>
  <si>
    <t>21/08/2026 13:04</t>
  </si>
  <si>
    <t>PRD-210826-000002</t>
  </si>
  <si>
    <t>21/08/2026 13:05</t>
  </si>
  <si>
    <t>PRD-210826-000003</t>
  </si>
  <si>
    <t>PRD-210826-000004</t>
  </si>
  <si>
    <t>PRD-210826-000005</t>
  </si>
  <si>
    <t>PRD-210826-000006</t>
  </si>
  <si>
    <t>21/08/2026 13:06</t>
  </si>
  <si>
    <t>PRD-210826-000007</t>
  </si>
  <si>
    <t>PRD-210826-000008</t>
  </si>
  <si>
    <t>21/08/2026 13:07</t>
  </si>
  <si>
    <t>PRD-210826-000009</t>
  </si>
  <si>
    <t>21/08/2026 15:17</t>
  </si>
  <si>
    <t>PRD-210826-000010</t>
  </si>
  <si>
    <t>PRD-210826-000011</t>
  </si>
  <si>
    <t>21/08/2026 15:30</t>
  </si>
  <si>
    <t>PRD-210826-000012</t>
  </si>
  <si>
    <t>PRD-210826-000013</t>
  </si>
  <si>
    <t>PRD-210826-000014</t>
  </si>
  <si>
    <t>PRD-210826-000015</t>
  </si>
  <si>
    <t>21/08/2026 15:34</t>
  </si>
  <si>
    <t>PRD-210826-000016</t>
  </si>
  <si>
    <t>PRD-210826-000017</t>
  </si>
  <si>
    <t>PRD-210826-000018</t>
  </si>
  <si>
    <t>PRD-210826-000019</t>
  </si>
  <si>
    <t>PRD-210826-000020</t>
  </si>
  <si>
    <t>PRD-210826-000021</t>
  </si>
  <si>
    <t>21/08/2026 15:36</t>
  </si>
  <si>
    <t>PRD-210826-000022</t>
  </si>
  <si>
    <t>PRD-210826-000023</t>
  </si>
  <si>
    <t>PRD-210826-000024</t>
  </si>
  <si>
    <t>PRD-210826-000025</t>
  </si>
  <si>
    <t>21/08/2026 15:37</t>
  </si>
  <si>
    <t>PRD-210826-000026</t>
  </si>
  <si>
    <t>PRD-210826-000027</t>
  </si>
  <si>
    <t>21/08/2026 15:38</t>
  </si>
  <si>
    <t>PRD-210826-000028</t>
  </si>
  <si>
    <t>PRD-210826-000029</t>
  </si>
  <si>
    <t>21/08/2026 15:39</t>
  </si>
  <si>
    <t>PRD-210826-000030</t>
  </si>
  <si>
    <t>PRD-210826-000031</t>
  </si>
  <si>
    <t>21/08/2026 15:40</t>
  </si>
  <si>
    <t>PRD-210826-000032</t>
  </si>
  <si>
    <t>PRD-210826-000033</t>
  </si>
  <si>
    <t>PRD-210826-000034</t>
  </si>
  <si>
    <t>PRD-210826-000035</t>
  </si>
  <si>
    <t>PRD-210826-000036</t>
  </si>
  <si>
    <t>PRD-210826-000037</t>
  </si>
  <si>
    <t>21/08/2026 15:41</t>
  </si>
  <si>
    <t>PRD-210826-000038</t>
  </si>
  <si>
    <t>PRD-210826-000039</t>
  </si>
  <si>
    <t>PRD-210826-000040</t>
  </si>
  <si>
    <t>PRD-210826-000041</t>
  </si>
  <si>
    <t>PRD-210826-000042</t>
  </si>
  <si>
    <t>21/08/2026 15:42</t>
  </si>
  <si>
    <t>PRD-210826-000043</t>
  </si>
  <si>
    <t>PRD-210826-000044</t>
  </si>
  <si>
    <t>PRD-210826-000045</t>
  </si>
  <si>
    <t>PRD-210826-000046</t>
  </si>
  <si>
    <t>PRD-210826-000047</t>
  </si>
  <si>
    <t>PRD-210826-000048</t>
  </si>
  <si>
    <t>21/08/2026 15:43</t>
  </si>
  <si>
    <t>PRD-210826-000049</t>
  </si>
  <si>
    <t>PRD-210826-000050</t>
  </si>
  <si>
    <t>21/08/2026 15:45</t>
  </si>
  <si>
    <t>PRD-210826-000051</t>
  </si>
  <si>
    <t>PRD-210826-000052</t>
  </si>
  <si>
    <t>PRD-210826-000053</t>
  </si>
  <si>
    <t>PRD-210826-000054</t>
  </si>
  <si>
    <t>PRD-210826-000055</t>
  </si>
  <si>
    <t>21/08/2026 15:46</t>
  </si>
  <si>
    <t>PRD-210826-000056</t>
  </si>
  <si>
    <t>PRD-210826-000057</t>
  </si>
  <si>
    <t>21/08/2026 15:48</t>
  </si>
  <si>
    <t>PRD-210826-000058</t>
  </si>
  <si>
    <t>PRD-210826-000059</t>
  </si>
  <si>
    <t>PRD-210826-000060</t>
  </si>
  <si>
    <t>21/08/2026 15:49</t>
  </si>
  <si>
    <t>PRD-210826-000061</t>
  </si>
  <si>
    <t>PRD-210826-000062</t>
  </si>
  <si>
    <t>21/08/2026 15:50</t>
  </si>
  <si>
    <t>PRD-210826-000063</t>
  </si>
  <si>
    <t>PRD-210826-000064</t>
  </si>
  <si>
    <t>PRD-210826-000065</t>
  </si>
  <si>
    <t>21/08/2026 15:51</t>
  </si>
  <si>
    <t>PRD-210826-000066</t>
  </si>
  <si>
    <t>PRD-210826-000067</t>
  </si>
  <si>
    <t>PRD-210826-000069</t>
  </si>
  <si>
    <t>21/08/2026 15:52</t>
  </si>
  <si>
    <t>PRD-210826-000070</t>
  </si>
  <si>
    <t>PRD-210826-000071</t>
  </si>
  <si>
    <t>PRD-210826-000076</t>
  </si>
  <si>
    <t>21/08/2026 17:26</t>
  </si>
  <si>
    <t>PRD-210826-000077</t>
  </si>
  <si>
    <t>21/08/2026 17:28</t>
  </si>
  <si>
    <t>PRD-210826-000078</t>
  </si>
  <si>
    <t>PRD-210826-000079</t>
  </si>
  <si>
    <t>21/08/2026 17:29</t>
  </si>
  <si>
    <t>PRD-210826-000080</t>
  </si>
  <si>
    <t>PRD-210826-000081</t>
  </si>
  <si>
    <t>21/08/2026 17:30</t>
  </si>
  <si>
    <t>20/08/2026</t>
  </si>
  <si>
    <t>21/08/2026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</si>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</sst>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U4:Y11002" sheet="DASHBOARD"/>
  </cacheSource>
  <cacheFields>
    <cacheField name="inputBy" numFmtId="0">
      <sharedItems containsBlank="1">
        <s v="Kodriyah"/>
        <s v="Mukhlis"/>
        <s v="Prima"/>
        <s v="Made"/>
        <m/>
      </sharedItems>
    </cacheField>
    <cacheField name="uniformType" numFmtId="0">
      <sharedItems containsBlank="1">
        <s v="Trousers"/>
        <s v="Shirt"/>
        <s v="Skirt"/>
        <s v="Blouse"/>
        <s v="Jacket"/>
        <s v="Dress"/>
        <s v="Vest"/>
        <s v="Polo Shirt"/>
        <s v="Cook Jacket"/>
        <s v="Napkin"/>
        <s v="Cloth"/>
        <s v="Apron"/>
        <s v="Table Cloth"/>
        <m/>
      </sharedItems>
    </cacheField>
    <cacheField name="quantity" numFmtId="0">
      <sharedItems containsString="0" containsBlank="1" containsNumber="1" containsInteger="1">
        <n v="40.0"/>
        <n v="41.0"/>
        <n v="2.0"/>
        <n v="5.0"/>
        <n v="3.0"/>
        <n v="4.0"/>
        <n v="1.0"/>
        <n v="6.0"/>
        <n v="9.0"/>
        <n v="8.0"/>
        <n v="14.0"/>
        <n v="44.0"/>
        <n v="34.0"/>
        <n v="118.0"/>
        <n v="50.0"/>
        <n v="10.0"/>
        <n v="196.0"/>
        <n v="38.0"/>
        <n v="43.0"/>
        <n v="42.0"/>
        <n v="58.0"/>
        <n v="59.0"/>
        <n v="15.0"/>
        <n v="17.0"/>
        <n v="37.0"/>
        <n v="143.0"/>
        <n v="7.0"/>
        <n v="19.0"/>
        <n v="304.0"/>
        <n v="35.0"/>
        <n v="29.0"/>
        <n v="79.0"/>
        <n v="119.0"/>
        <n v="36.0"/>
        <n v="63.0"/>
        <n v="53.0"/>
        <n v="13.0"/>
        <n v="24.0"/>
        <n v="306.0"/>
        <n v="20.0"/>
        <n v="28.0"/>
        <n v="16.0"/>
        <n v="123.0"/>
        <n v="70.0"/>
        <n v="60.0"/>
        <n v="75.0"/>
        <n v="11.0"/>
        <n v="238.0"/>
        <m/>
      </sharedItems>
    </cacheField>
    <cacheField name="department" numFmtId="0">
      <sharedItems containsBlank="1">
        <s v="Housekeeping"/>
        <s v="Front Office"/>
        <s v="GRE"/>
        <s v="Concierge"/>
        <s v="Club"/>
        <s v="GSC"/>
        <s v="Security"/>
        <s v="IRD"/>
        <s v="Cinnamon"/>
        <s v="LiFeng"/>
        <s v="Banquet"/>
        <s v="Steward"/>
        <s v="Engineering"/>
        <s v="Wellness"/>
        <s v="Kitchen / Culinary"/>
        <s v="MO Bar"/>
        <s v="IT"/>
        <s v="Finance"/>
        <s v="P&amp;C"/>
        <s v="Sales &amp; Executive"/>
        <s v="Azure"/>
        <s v="Purchasing"/>
        <m/>
      </sharedItems>
    </cacheField>
    <cacheField name="Created" numFmtId="0">
      <sharedItems>
        <s v="18/08/2026"/>
        <s v="19/08/2026"/>
        <s v="20/08/2026"/>
        <s v="21/08/2026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B4:Q28" firstHeaderRow="0" firstDataRow="1" firstDataCol="1" rowPageCount="1" colPageCount="1"/>
  <pivotFields>
    <pivotField name="inputB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formType" axis="axisCol" compact="0" outline="0" multipleItemSelectionAllowed="1" showAll="0" sortType="ascending">
      <items>
        <item x="13"/>
        <item x="11"/>
        <item x="3"/>
        <item x="10"/>
        <item x="8"/>
        <item x="5"/>
        <item x="4"/>
        <item x="9"/>
        <item x="7"/>
        <item x="1"/>
        <item x="2"/>
        <item x="12"/>
        <item x="0"/>
        <item x="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department" axis="axisRow" compact="0" outline="0" multipleItemSelectionAllowed="1" showAll="0" sortType="ascending">
      <items>
        <item x="22"/>
        <item x="20"/>
        <item x="10"/>
        <item x="8"/>
        <item x="4"/>
        <item x="3"/>
        <item x="12"/>
        <item x="17"/>
        <item x="1"/>
        <item x="2"/>
        <item x="5"/>
        <item x="0"/>
        <item x="7"/>
        <item x="16"/>
        <item x="14"/>
        <item x="9"/>
        <item x="15"/>
        <item x="18"/>
        <item x="21"/>
        <item x="19"/>
        <item x="6"/>
        <item x="11"/>
        <item x="13"/>
        <item t="default"/>
      </items>
    </pivotField>
    <pivotField name="Created" axis="axisPage" compact="0" outline="0" multipleItemSelectionAllowed="1" showAll="0">
      <items>
        <item x="0"/>
        <item x="1"/>
        <item x="2"/>
        <item h="1" x="3"/>
        <item x="4"/>
        <item t="default"/>
      </items>
    </pivotField>
  </pivotFields>
  <rowFields>
    <field x="3"/>
  </rowFields>
  <colFields>
    <field x="1"/>
  </colFields>
  <pageFields>
    <pageField fld="4"/>
  </pageFields>
  <dataFields>
    <dataField name="SUM of quantity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3" max="13" width="5.75"/>
    <col customWidth="1" min="14" max="14" width="6.63"/>
    <col customWidth="1" min="15" max="15" width="5.75"/>
    <col customWidth="1" min="16" max="16" width="7.38"/>
    <col customWidth="1" min="17" max="17" width="6.88"/>
    <col customWidth="1" min="20" max="20" width="16.0"/>
  </cols>
  <sheetData>
    <row r="1">
      <c r="Y1" s="1"/>
    </row>
    <row r="2">
      <c r="Y2" s="1"/>
    </row>
    <row r="3">
      <c r="Y3" s="1"/>
    </row>
    <row r="4">
      <c r="S4" s="6" t="str">
        <f>IFERROR(__xludf.DUMMYFUNCTION("QUERY(UniformProduction!$A$1:$F11002,""SELECT *"")"),"uniqueID")</f>
        <v>uniqueID</v>
      </c>
      <c r="T4" s="6" t="str">
        <f>IFERROR(__xludf.DUMMYFUNCTION("""COMPUTED_VALUE"""),"createdAt")</f>
        <v>createdAt</v>
      </c>
      <c r="U4" s="6" t="str">
        <f>IFERROR(__xludf.DUMMYFUNCTION("""COMPUTED_VALUE"""),"inputBy")</f>
        <v>inputBy</v>
      </c>
      <c r="V4" s="6" t="str">
        <f>IFERROR(__xludf.DUMMYFUNCTION("""COMPUTED_VALUE"""),"uniformType")</f>
        <v>uniformType</v>
      </c>
      <c r="W4" s="6" t="str">
        <f>IFERROR(__xludf.DUMMYFUNCTION("""COMPUTED_VALUE"""),"quantity")</f>
        <v>quantity</v>
      </c>
      <c r="X4" s="6" t="str">
        <f>IFERROR(__xludf.DUMMYFUNCTION("""COMPUTED_VALUE"""),"department")</f>
        <v>department</v>
      </c>
      <c r="Y4" s="1" t="s">
        <v>117</v>
      </c>
    </row>
    <row r="5">
      <c r="S5" s="6" t="str">
        <f>IFERROR(__xludf.DUMMYFUNCTION("""COMPUTED_VALUE"""),"PRD-180826-000003")</f>
        <v>PRD-180826-000003</v>
      </c>
      <c r="T5" s="6" t="str">
        <f>IFERROR(__xludf.DUMMYFUNCTION("""COMPUTED_VALUE"""),"18/08/2026 14:00")</f>
        <v>18/08/2026 14:00</v>
      </c>
      <c r="U5" s="6" t="str">
        <f>IFERROR(__xludf.DUMMYFUNCTION("""COMPUTED_VALUE"""),"Kodriyah")</f>
        <v>Kodriyah</v>
      </c>
      <c r="V5" s="6" t="str">
        <f>IFERROR(__xludf.DUMMYFUNCTION("""COMPUTED_VALUE"""),"Trousers")</f>
        <v>Trousers</v>
      </c>
      <c r="W5" s="6">
        <f>IFERROR(__xludf.DUMMYFUNCTION("""COMPUTED_VALUE"""),40.0)</f>
        <v>40</v>
      </c>
      <c r="X5" s="6" t="str">
        <f>IFERROR(__xludf.DUMMYFUNCTION("""COMPUTED_VALUE"""),"Housekeeping")</f>
        <v>Housekeeping</v>
      </c>
      <c r="Y5" s="6" t="str">
        <f t="array" ref="Y5:Y11002">IF(T5:T11002="", "", LEFT(T5:T11002, 10))</f>
        <v>18/08/2026</v>
      </c>
    </row>
    <row r="6">
      <c r="S6" s="6" t="str">
        <f>IFERROR(__xludf.DUMMYFUNCTION("""COMPUTED_VALUE"""),"PRD-180826-000004")</f>
        <v>PRD-180826-000004</v>
      </c>
      <c r="T6" s="6" t="str">
        <f>IFERROR(__xludf.DUMMYFUNCTION("""COMPUTED_VALUE"""),"18/08/2026 14:00")</f>
        <v>18/08/2026 14:00</v>
      </c>
      <c r="U6" s="6" t="str">
        <f>IFERROR(__xludf.DUMMYFUNCTION("""COMPUTED_VALUE"""),"Kodriyah")</f>
        <v>Kodriyah</v>
      </c>
      <c r="V6" s="6" t="str">
        <f>IFERROR(__xludf.DUMMYFUNCTION("""COMPUTED_VALUE"""),"Shirt")</f>
        <v>Shirt</v>
      </c>
      <c r="W6" s="6">
        <f>IFERROR(__xludf.DUMMYFUNCTION("""COMPUTED_VALUE"""),41.0)</f>
        <v>41</v>
      </c>
      <c r="X6" s="6" t="str">
        <f>IFERROR(__xludf.DUMMYFUNCTION("""COMPUTED_VALUE"""),"Housekeeping")</f>
        <v>Housekeeping</v>
      </c>
      <c r="Y6" s="6" t="s">
        <v>225</v>
      </c>
    </row>
    <row r="7">
      <c r="S7" s="6" t="str">
        <f>IFERROR(__xludf.DUMMYFUNCTION("""COMPUTED_VALUE"""),"PRD-180826-000013")</f>
        <v>PRD-180826-000013</v>
      </c>
      <c r="T7" s="6" t="str">
        <f>IFERROR(__xludf.DUMMYFUNCTION("""COMPUTED_VALUE"""),"18/08/2026 14:07")</f>
        <v>18/08/2026 14:07</v>
      </c>
      <c r="U7" s="6" t="str">
        <f>IFERROR(__xludf.DUMMYFUNCTION("""COMPUTED_VALUE"""),"Kodriyah")</f>
        <v>Kodriyah</v>
      </c>
      <c r="V7" s="6" t="str">
        <f>IFERROR(__xludf.DUMMYFUNCTION("""COMPUTED_VALUE"""),"Trousers")</f>
        <v>Trousers</v>
      </c>
      <c r="W7" s="6">
        <f>IFERROR(__xludf.DUMMYFUNCTION("""COMPUTED_VALUE"""),2.0)</f>
        <v>2</v>
      </c>
      <c r="X7" s="6" t="str">
        <f>IFERROR(__xludf.DUMMYFUNCTION("""COMPUTED_VALUE"""),"Front Office")</f>
        <v>Front Office</v>
      </c>
      <c r="Y7" s="6" t="s">
        <v>225</v>
      </c>
    </row>
    <row r="8">
      <c r="S8" s="6" t="str">
        <f>IFERROR(__xludf.DUMMYFUNCTION("""COMPUTED_VALUE"""),"PRD-180826-000014")</f>
        <v>PRD-180826-000014</v>
      </c>
      <c r="T8" s="6" t="str">
        <f>IFERROR(__xludf.DUMMYFUNCTION("""COMPUTED_VALUE"""),"18/08/2026 14:07")</f>
        <v>18/08/2026 14:07</v>
      </c>
      <c r="U8" s="6" t="str">
        <f>IFERROR(__xludf.DUMMYFUNCTION("""COMPUTED_VALUE"""),"Kodriyah")</f>
        <v>Kodriyah</v>
      </c>
      <c r="V8" s="6" t="str">
        <f>IFERROR(__xludf.DUMMYFUNCTION("""COMPUTED_VALUE"""),"Skirt")</f>
        <v>Skirt</v>
      </c>
      <c r="W8" s="6">
        <f>IFERROR(__xludf.DUMMYFUNCTION("""COMPUTED_VALUE"""),2.0)</f>
        <v>2</v>
      </c>
      <c r="X8" s="6" t="str">
        <f>IFERROR(__xludf.DUMMYFUNCTION("""COMPUTED_VALUE"""),"Front Office")</f>
        <v>Front Office</v>
      </c>
      <c r="Y8" s="6" t="s">
        <v>225</v>
      </c>
    </row>
    <row r="9">
      <c r="S9" s="6" t="str">
        <f>IFERROR(__xludf.DUMMYFUNCTION("""COMPUTED_VALUE"""),"PRD-180826-000015")</f>
        <v>PRD-180826-000015</v>
      </c>
      <c r="T9" s="6" t="str">
        <f>IFERROR(__xludf.DUMMYFUNCTION("""COMPUTED_VALUE"""),"18/08/2026 14:07")</f>
        <v>18/08/2026 14:07</v>
      </c>
      <c r="U9" s="6" t="str">
        <f>IFERROR(__xludf.DUMMYFUNCTION("""COMPUTED_VALUE"""),"Kodriyah")</f>
        <v>Kodriyah</v>
      </c>
      <c r="V9" s="6" t="str">
        <f>IFERROR(__xludf.DUMMYFUNCTION("""COMPUTED_VALUE"""),"Shirt")</f>
        <v>Shirt</v>
      </c>
      <c r="W9" s="6">
        <f>IFERROR(__xludf.DUMMYFUNCTION("""COMPUTED_VALUE"""),5.0)</f>
        <v>5</v>
      </c>
      <c r="X9" s="6" t="str">
        <f>IFERROR(__xludf.DUMMYFUNCTION("""COMPUTED_VALUE"""),"Front Office")</f>
        <v>Front Office</v>
      </c>
      <c r="Y9" s="6" t="s">
        <v>225</v>
      </c>
    </row>
    <row r="10">
      <c r="S10" s="6" t="str">
        <f>IFERROR(__xludf.DUMMYFUNCTION("""COMPUTED_VALUE"""),"PRD-180826-000016")</f>
        <v>PRD-180826-000016</v>
      </c>
      <c r="T10" s="6" t="str">
        <f>IFERROR(__xludf.DUMMYFUNCTION("""COMPUTED_VALUE"""),"18/08/2026 14:07")</f>
        <v>18/08/2026 14:07</v>
      </c>
      <c r="U10" s="6" t="str">
        <f>IFERROR(__xludf.DUMMYFUNCTION("""COMPUTED_VALUE"""),"Kodriyah")</f>
        <v>Kodriyah</v>
      </c>
      <c r="V10" s="6" t="str">
        <f>IFERROR(__xludf.DUMMYFUNCTION("""COMPUTED_VALUE"""),"Blouse")</f>
        <v>Blouse</v>
      </c>
      <c r="W10" s="6">
        <f>IFERROR(__xludf.DUMMYFUNCTION("""COMPUTED_VALUE"""),2.0)</f>
        <v>2</v>
      </c>
      <c r="X10" s="6" t="str">
        <f>IFERROR(__xludf.DUMMYFUNCTION("""COMPUTED_VALUE"""),"Front Office")</f>
        <v>Front Office</v>
      </c>
      <c r="Y10" s="6" t="s">
        <v>225</v>
      </c>
    </row>
    <row r="11">
      <c r="S11" s="6" t="str">
        <f>IFERROR(__xludf.DUMMYFUNCTION("""COMPUTED_VALUE"""),"PRD-180826-000017")</f>
        <v>PRD-180826-000017</v>
      </c>
      <c r="T11" s="6" t="str">
        <f>IFERROR(__xludf.DUMMYFUNCTION("""COMPUTED_VALUE"""),"18/08/2026 14:07")</f>
        <v>18/08/2026 14:07</v>
      </c>
      <c r="U11" s="6" t="str">
        <f>IFERROR(__xludf.DUMMYFUNCTION("""COMPUTED_VALUE"""),"Kodriyah")</f>
        <v>Kodriyah</v>
      </c>
      <c r="V11" s="6" t="str">
        <f>IFERROR(__xludf.DUMMYFUNCTION("""COMPUTED_VALUE"""),"Trousers")</f>
        <v>Trousers</v>
      </c>
      <c r="W11" s="6">
        <f>IFERROR(__xludf.DUMMYFUNCTION("""COMPUTED_VALUE"""),2.0)</f>
        <v>2</v>
      </c>
      <c r="X11" s="6" t="str">
        <f>IFERROR(__xludf.DUMMYFUNCTION("""COMPUTED_VALUE"""),"Front Office")</f>
        <v>Front Office</v>
      </c>
      <c r="Y11" s="6" t="s">
        <v>225</v>
      </c>
    </row>
    <row r="12">
      <c r="S12" s="6" t="str">
        <f>IFERROR(__xludf.DUMMYFUNCTION("""COMPUTED_VALUE"""),"PRD-180826-000018")</f>
        <v>PRD-180826-000018</v>
      </c>
      <c r="T12" s="6" t="str">
        <f>IFERROR(__xludf.DUMMYFUNCTION("""COMPUTED_VALUE"""),"18/08/2026 14:07")</f>
        <v>18/08/2026 14:07</v>
      </c>
      <c r="U12" s="6" t="str">
        <f>IFERROR(__xludf.DUMMYFUNCTION("""COMPUTED_VALUE"""),"Kodriyah")</f>
        <v>Kodriyah</v>
      </c>
      <c r="V12" s="6" t="str">
        <f>IFERROR(__xludf.DUMMYFUNCTION("""COMPUTED_VALUE"""),"Skirt")</f>
        <v>Skirt</v>
      </c>
      <c r="W12" s="6">
        <f>IFERROR(__xludf.DUMMYFUNCTION("""COMPUTED_VALUE"""),2.0)</f>
        <v>2</v>
      </c>
      <c r="X12" s="6" t="str">
        <f>IFERROR(__xludf.DUMMYFUNCTION("""COMPUTED_VALUE"""),"Front Office")</f>
        <v>Front Office</v>
      </c>
      <c r="Y12" s="6" t="s">
        <v>225</v>
      </c>
    </row>
    <row r="13">
      <c r="S13" s="6" t="str">
        <f>IFERROR(__xludf.DUMMYFUNCTION("""COMPUTED_VALUE"""),"PRD-180826-000019")</f>
        <v>PRD-180826-000019</v>
      </c>
      <c r="T13" s="6" t="str">
        <f>IFERROR(__xludf.DUMMYFUNCTION("""COMPUTED_VALUE"""),"18/08/2026 14:07")</f>
        <v>18/08/2026 14:07</v>
      </c>
      <c r="U13" s="6" t="str">
        <f>IFERROR(__xludf.DUMMYFUNCTION("""COMPUTED_VALUE"""),"Kodriyah")</f>
        <v>Kodriyah</v>
      </c>
      <c r="V13" s="6" t="str">
        <f>IFERROR(__xludf.DUMMYFUNCTION("""COMPUTED_VALUE"""),"Shirt")</f>
        <v>Shirt</v>
      </c>
      <c r="W13" s="6">
        <f>IFERROR(__xludf.DUMMYFUNCTION("""COMPUTED_VALUE"""),5.0)</f>
        <v>5</v>
      </c>
      <c r="X13" s="6" t="str">
        <f>IFERROR(__xludf.DUMMYFUNCTION("""COMPUTED_VALUE"""),"Front Office")</f>
        <v>Front Office</v>
      </c>
      <c r="Y13" s="6" t="s">
        <v>225</v>
      </c>
    </row>
    <row r="14">
      <c r="S14" s="6" t="str">
        <f>IFERROR(__xludf.DUMMYFUNCTION("""COMPUTED_VALUE"""),"PRD-180826-000020")</f>
        <v>PRD-180826-000020</v>
      </c>
      <c r="T14" s="6" t="str">
        <f>IFERROR(__xludf.DUMMYFUNCTION("""COMPUTED_VALUE"""),"18/08/2026 14:07")</f>
        <v>18/08/2026 14:07</v>
      </c>
      <c r="U14" s="6" t="str">
        <f>IFERROR(__xludf.DUMMYFUNCTION("""COMPUTED_VALUE"""),"Kodriyah")</f>
        <v>Kodriyah</v>
      </c>
      <c r="V14" s="6" t="str">
        <f>IFERROR(__xludf.DUMMYFUNCTION("""COMPUTED_VALUE"""),"Blouse")</f>
        <v>Blouse</v>
      </c>
      <c r="W14" s="6">
        <f>IFERROR(__xludf.DUMMYFUNCTION("""COMPUTED_VALUE"""),2.0)</f>
        <v>2</v>
      </c>
      <c r="X14" s="6" t="str">
        <f>IFERROR(__xludf.DUMMYFUNCTION("""COMPUTED_VALUE"""),"Front Office")</f>
        <v>Front Office</v>
      </c>
      <c r="Y14" s="6" t="s">
        <v>225</v>
      </c>
    </row>
    <row r="15">
      <c r="S15" s="6" t="str">
        <f>IFERROR(__xludf.DUMMYFUNCTION("""COMPUTED_VALUE"""),"PRD-180826-000021")</f>
        <v>PRD-180826-000021</v>
      </c>
      <c r="T15" s="6" t="str">
        <f>IFERROR(__xludf.DUMMYFUNCTION("""COMPUTED_VALUE"""),"18/08/2026 14:08")</f>
        <v>18/08/2026 14:08</v>
      </c>
      <c r="U15" s="6" t="str">
        <f>IFERROR(__xludf.DUMMYFUNCTION("""COMPUTED_VALUE"""),"Kodriyah")</f>
        <v>Kodriyah</v>
      </c>
      <c r="V15" s="6" t="str">
        <f>IFERROR(__xludf.DUMMYFUNCTION("""COMPUTED_VALUE"""),"Skirt")</f>
        <v>Skirt</v>
      </c>
      <c r="W15" s="6">
        <f>IFERROR(__xludf.DUMMYFUNCTION("""COMPUTED_VALUE"""),3.0)</f>
        <v>3</v>
      </c>
      <c r="X15" s="6" t="str">
        <f>IFERROR(__xludf.DUMMYFUNCTION("""COMPUTED_VALUE"""),"GRE")</f>
        <v>GRE</v>
      </c>
      <c r="Y15" s="6" t="s">
        <v>225</v>
      </c>
    </row>
    <row r="16">
      <c r="S16" s="6" t="str">
        <f>IFERROR(__xludf.DUMMYFUNCTION("""COMPUTED_VALUE"""),"PRD-180826-000022")</f>
        <v>PRD-180826-000022</v>
      </c>
      <c r="T16" s="6" t="str">
        <f>IFERROR(__xludf.DUMMYFUNCTION("""COMPUTED_VALUE"""),"18/08/2026 14:08")</f>
        <v>18/08/2026 14:08</v>
      </c>
      <c r="U16" s="6" t="str">
        <f>IFERROR(__xludf.DUMMYFUNCTION("""COMPUTED_VALUE"""),"Kodriyah")</f>
        <v>Kodriyah</v>
      </c>
      <c r="V16" s="6" t="str">
        <f>IFERROR(__xludf.DUMMYFUNCTION("""COMPUTED_VALUE"""),"Blouse")</f>
        <v>Blouse</v>
      </c>
      <c r="W16" s="6">
        <f>IFERROR(__xludf.DUMMYFUNCTION("""COMPUTED_VALUE"""),3.0)</f>
        <v>3</v>
      </c>
      <c r="X16" s="6" t="str">
        <f>IFERROR(__xludf.DUMMYFUNCTION("""COMPUTED_VALUE"""),"GRE")</f>
        <v>GRE</v>
      </c>
      <c r="Y16" s="6" t="s">
        <v>225</v>
      </c>
    </row>
    <row r="17">
      <c r="S17" s="6" t="str">
        <f>IFERROR(__xludf.DUMMYFUNCTION("""COMPUTED_VALUE"""),"PRD-180826-000023")</f>
        <v>PRD-180826-000023</v>
      </c>
      <c r="T17" s="6" t="str">
        <f>IFERROR(__xludf.DUMMYFUNCTION("""COMPUTED_VALUE"""),"18/08/2026 14:09")</f>
        <v>18/08/2026 14:09</v>
      </c>
      <c r="U17" s="6" t="str">
        <f>IFERROR(__xludf.DUMMYFUNCTION("""COMPUTED_VALUE"""),"Kodriyah")</f>
        <v>Kodriyah</v>
      </c>
      <c r="V17" s="6" t="str">
        <f>IFERROR(__xludf.DUMMYFUNCTION("""COMPUTED_VALUE"""),"Trousers")</f>
        <v>Trousers</v>
      </c>
      <c r="W17" s="6">
        <f>IFERROR(__xludf.DUMMYFUNCTION("""COMPUTED_VALUE"""),3.0)</f>
        <v>3</v>
      </c>
      <c r="X17" s="6" t="str">
        <f>IFERROR(__xludf.DUMMYFUNCTION("""COMPUTED_VALUE"""),"Concierge")</f>
        <v>Concierge</v>
      </c>
      <c r="Y17" s="6" t="s">
        <v>225</v>
      </c>
    </row>
    <row r="18">
      <c r="S18" s="6" t="str">
        <f>IFERROR(__xludf.DUMMYFUNCTION("""COMPUTED_VALUE"""),"PRD-180826-000024")</f>
        <v>PRD-180826-000024</v>
      </c>
      <c r="T18" s="6" t="str">
        <f>IFERROR(__xludf.DUMMYFUNCTION("""COMPUTED_VALUE"""),"18/08/2026 14:09")</f>
        <v>18/08/2026 14:09</v>
      </c>
      <c r="U18" s="6" t="str">
        <f>IFERROR(__xludf.DUMMYFUNCTION("""COMPUTED_VALUE"""),"Kodriyah")</f>
        <v>Kodriyah</v>
      </c>
      <c r="V18" s="6" t="str">
        <f>IFERROR(__xludf.DUMMYFUNCTION("""COMPUTED_VALUE"""),"Jacket")</f>
        <v>Jacket</v>
      </c>
      <c r="W18" s="6">
        <f>IFERROR(__xludf.DUMMYFUNCTION("""COMPUTED_VALUE"""),4.0)</f>
        <v>4</v>
      </c>
      <c r="X18" s="6" t="str">
        <f>IFERROR(__xludf.DUMMYFUNCTION("""COMPUTED_VALUE"""),"Concierge")</f>
        <v>Concierge</v>
      </c>
      <c r="Y18" s="6" t="s">
        <v>225</v>
      </c>
    </row>
    <row r="19">
      <c r="S19" s="6" t="str">
        <f>IFERROR(__xludf.DUMMYFUNCTION("""COMPUTED_VALUE"""),"PRD-180826-000025")</f>
        <v>PRD-180826-000025</v>
      </c>
      <c r="T19" s="6" t="str">
        <f>IFERROR(__xludf.DUMMYFUNCTION("""COMPUTED_VALUE"""),"18/08/2026 14:10")</f>
        <v>18/08/2026 14:10</v>
      </c>
      <c r="U19" s="6" t="str">
        <f>IFERROR(__xludf.DUMMYFUNCTION("""COMPUTED_VALUE"""),"Kodriyah")</f>
        <v>Kodriyah</v>
      </c>
      <c r="V19" s="6" t="str">
        <f>IFERROR(__xludf.DUMMYFUNCTION("""COMPUTED_VALUE"""),"Jacket")</f>
        <v>Jacket</v>
      </c>
      <c r="W19" s="6">
        <f>IFERROR(__xludf.DUMMYFUNCTION("""COMPUTED_VALUE"""),2.0)</f>
        <v>2</v>
      </c>
      <c r="X19" s="6" t="str">
        <f>IFERROR(__xludf.DUMMYFUNCTION("""COMPUTED_VALUE"""),"Club")</f>
        <v>Club</v>
      </c>
      <c r="Y19" s="6" t="s">
        <v>225</v>
      </c>
    </row>
    <row r="20">
      <c r="S20" s="6" t="str">
        <f>IFERROR(__xludf.DUMMYFUNCTION("""COMPUTED_VALUE"""),"PRD-180826-000026")</f>
        <v>PRD-180826-000026</v>
      </c>
      <c r="T20" s="6" t="str">
        <f>IFERROR(__xludf.DUMMYFUNCTION("""COMPUTED_VALUE"""),"18/08/2026 14:10")</f>
        <v>18/08/2026 14:10</v>
      </c>
      <c r="U20" s="6" t="str">
        <f>IFERROR(__xludf.DUMMYFUNCTION("""COMPUTED_VALUE"""),"Kodriyah")</f>
        <v>Kodriyah</v>
      </c>
      <c r="V20" s="6" t="str">
        <f>IFERROR(__xludf.DUMMYFUNCTION("""COMPUTED_VALUE"""),"Dress")</f>
        <v>Dress</v>
      </c>
      <c r="W20" s="6">
        <f>IFERROR(__xludf.DUMMYFUNCTION("""COMPUTED_VALUE"""),2.0)</f>
        <v>2</v>
      </c>
      <c r="X20" s="6" t="str">
        <f>IFERROR(__xludf.DUMMYFUNCTION("""COMPUTED_VALUE"""),"Club")</f>
        <v>Club</v>
      </c>
      <c r="Y20" s="6" t="s">
        <v>225</v>
      </c>
    </row>
    <row r="21">
      <c r="S21" s="6" t="str">
        <f>IFERROR(__xludf.DUMMYFUNCTION("""COMPUTED_VALUE"""),"PRD-180826-000027")</f>
        <v>PRD-180826-000027</v>
      </c>
      <c r="T21" s="6" t="str">
        <f>IFERROR(__xludf.DUMMYFUNCTION("""COMPUTED_VALUE"""),"18/08/2026 14:11")</f>
        <v>18/08/2026 14:11</v>
      </c>
      <c r="U21" s="6" t="str">
        <f>IFERROR(__xludf.DUMMYFUNCTION("""COMPUTED_VALUE"""),"Kodriyah")</f>
        <v>Kodriyah</v>
      </c>
      <c r="V21" s="6" t="str">
        <f>IFERROR(__xludf.DUMMYFUNCTION("""COMPUTED_VALUE"""),"Jacket")</f>
        <v>Jacket</v>
      </c>
      <c r="W21" s="6">
        <f>IFERROR(__xludf.DUMMYFUNCTION("""COMPUTED_VALUE"""),2.0)</f>
        <v>2</v>
      </c>
      <c r="X21" s="6" t="str">
        <f>IFERROR(__xludf.DUMMYFUNCTION("""COMPUTED_VALUE"""),"Club")</f>
        <v>Club</v>
      </c>
      <c r="Y21" s="6" t="s">
        <v>225</v>
      </c>
    </row>
    <row r="22">
      <c r="S22" s="6" t="str">
        <f>IFERROR(__xludf.DUMMYFUNCTION("""COMPUTED_VALUE"""),"PRD-180826-000028")</f>
        <v>PRD-180826-000028</v>
      </c>
      <c r="T22" s="6" t="str">
        <f>IFERROR(__xludf.DUMMYFUNCTION("""COMPUTED_VALUE"""),"18/08/2026 14:11")</f>
        <v>18/08/2026 14:11</v>
      </c>
      <c r="U22" s="6" t="str">
        <f>IFERROR(__xludf.DUMMYFUNCTION("""COMPUTED_VALUE"""),"Kodriyah")</f>
        <v>Kodriyah</v>
      </c>
      <c r="V22" s="6" t="str">
        <f>IFERROR(__xludf.DUMMYFUNCTION("""COMPUTED_VALUE"""),"Dress")</f>
        <v>Dress</v>
      </c>
      <c r="W22" s="6">
        <f>IFERROR(__xludf.DUMMYFUNCTION("""COMPUTED_VALUE"""),2.0)</f>
        <v>2</v>
      </c>
      <c r="X22" s="6" t="str">
        <f>IFERROR(__xludf.DUMMYFUNCTION("""COMPUTED_VALUE"""),"Club")</f>
        <v>Club</v>
      </c>
      <c r="Y22" s="6" t="s">
        <v>225</v>
      </c>
    </row>
    <row r="23">
      <c r="S23" s="6" t="str">
        <f>IFERROR(__xludf.DUMMYFUNCTION("""COMPUTED_VALUE"""),"PRD-180826-000029")</f>
        <v>PRD-180826-000029</v>
      </c>
      <c r="T23" s="6" t="str">
        <f>IFERROR(__xludf.DUMMYFUNCTION("""COMPUTED_VALUE"""),"18/08/2026 14:12")</f>
        <v>18/08/2026 14:12</v>
      </c>
      <c r="U23" s="6" t="str">
        <f>IFERROR(__xludf.DUMMYFUNCTION("""COMPUTED_VALUE"""),"Kodriyah")</f>
        <v>Kodriyah</v>
      </c>
      <c r="V23" s="6" t="str">
        <f>IFERROR(__xludf.DUMMYFUNCTION("""COMPUTED_VALUE"""),"Trousers")</f>
        <v>Trousers</v>
      </c>
      <c r="W23" s="6">
        <f>IFERROR(__xludf.DUMMYFUNCTION("""COMPUTED_VALUE"""),3.0)</f>
        <v>3</v>
      </c>
      <c r="X23" s="6" t="str">
        <f>IFERROR(__xludf.DUMMYFUNCTION("""COMPUTED_VALUE"""),"GSC")</f>
        <v>GSC</v>
      </c>
      <c r="Y23" s="6" t="s">
        <v>225</v>
      </c>
    </row>
    <row r="24">
      <c r="S24" s="6" t="str">
        <f>IFERROR(__xludf.DUMMYFUNCTION("""COMPUTED_VALUE"""),"PRD-180826-000030")</f>
        <v>PRD-180826-000030</v>
      </c>
      <c r="T24" s="6" t="str">
        <f>IFERROR(__xludf.DUMMYFUNCTION("""COMPUTED_VALUE"""),"18/08/2026 14:12")</f>
        <v>18/08/2026 14:12</v>
      </c>
      <c r="U24" s="6" t="str">
        <f>IFERROR(__xludf.DUMMYFUNCTION("""COMPUTED_VALUE"""),"Kodriyah")</f>
        <v>Kodriyah</v>
      </c>
      <c r="V24" s="6" t="str">
        <f>IFERROR(__xludf.DUMMYFUNCTION("""COMPUTED_VALUE"""),"Jacket")</f>
        <v>Jacket</v>
      </c>
      <c r="W24" s="6">
        <f>IFERROR(__xludf.DUMMYFUNCTION("""COMPUTED_VALUE"""),3.0)</f>
        <v>3</v>
      </c>
      <c r="X24" s="6" t="str">
        <f>IFERROR(__xludf.DUMMYFUNCTION("""COMPUTED_VALUE"""),"GSC")</f>
        <v>GSC</v>
      </c>
      <c r="Y24" s="6" t="s">
        <v>225</v>
      </c>
    </row>
    <row r="25">
      <c r="S25" s="6" t="str">
        <f>IFERROR(__xludf.DUMMYFUNCTION("""COMPUTED_VALUE"""),"PRD-180826-000031")</f>
        <v>PRD-180826-000031</v>
      </c>
      <c r="T25" s="6" t="str">
        <f>IFERROR(__xludf.DUMMYFUNCTION("""COMPUTED_VALUE"""),"18/08/2026 14:13")</f>
        <v>18/08/2026 14:13</v>
      </c>
      <c r="U25" s="6" t="str">
        <f>IFERROR(__xludf.DUMMYFUNCTION("""COMPUTED_VALUE"""),"Kodriyah")</f>
        <v>Kodriyah</v>
      </c>
      <c r="V25" s="6" t="str">
        <f>IFERROR(__xludf.DUMMYFUNCTION("""COMPUTED_VALUE"""),"Trousers")</f>
        <v>Trousers</v>
      </c>
      <c r="W25" s="6">
        <f>IFERROR(__xludf.DUMMYFUNCTION("""COMPUTED_VALUE"""),1.0)</f>
        <v>1</v>
      </c>
      <c r="X25" s="6" t="str">
        <f>IFERROR(__xludf.DUMMYFUNCTION("""COMPUTED_VALUE"""),"Security")</f>
        <v>Security</v>
      </c>
      <c r="Y25" s="6" t="s">
        <v>225</v>
      </c>
    </row>
    <row r="26">
      <c r="S26" s="6" t="str">
        <f>IFERROR(__xludf.DUMMYFUNCTION("""COMPUTED_VALUE"""),"PRD-180826-000032")</f>
        <v>PRD-180826-000032</v>
      </c>
      <c r="T26" s="6" t="str">
        <f>IFERROR(__xludf.DUMMYFUNCTION("""COMPUTED_VALUE"""),"18/08/2026 14:13")</f>
        <v>18/08/2026 14:13</v>
      </c>
      <c r="U26" s="6" t="str">
        <f>IFERROR(__xludf.DUMMYFUNCTION("""COMPUTED_VALUE"""),"Kodriyah")</f>
        <v>Kodriyah</v>
      </c>
      <c r="V26" s="6" t="str">
        <f>IFERROR(__xludf.DUMMYFUNCTION("""COMPUTED_VALUE"""),"Shirt")</f>
        <v>Shirt</v>
      </c>
      <c r="W26" s="6">
        <f>IFERROR(__xludf.DUMMYFUNCTION("""COMPUTED_VALUE"""),2.0)</f>
        <v>2</v>
      </c>
      <c r="X26" s="6" t="str">
        <f>IFERROR(__xludf.DUMMYFUNCTION("""COMPUTED_VALUE"""),"Security")</f>
        <v>Security</v>
      </c>
      <c r="Y26" s="6" t="s">
        <v>225</v>
      </c>
    </row>
    <row r="27">
      <c r="S27" s="6" t="str">
        <f>IFERROR(__xludf.DUMMYFUNCTION("""COMPUTED_VALUE"""),"PRD-180826-000033")</f>
        <v>PRD-180826-000033</v>
      </c>
      <c r="T27" s="6" t="str">
        <f>IFERROR(__xludf.DUMMYFUNCTION("""COMPUTED_VALUE"""),"18/08/2026 14:16")</f>
        <v>18/08/2026 14:16</v>
      </c>
      <c r="U27" s="6" t="str">
        <f>IFERROR(__xludf.DUMMYFUNCTION("""COMPUTED_VALUE"""),"Kodriyah")</f>
        <v>Kodriyah</v>
      </c>
      <c r="V27" s="6" t="str">
        <f>IFERROR(__xludf.DUMMYFUNCTION("""COMPUTED_VALUE"""),"Trousers")</f>
        <v>Trousers</v>
      </c>
      <c r="W27" s="6">
        <f>IFERROR(__xludf.DUMMYFUNCTION("""COMPUTED_VALUE"""),2.0)</f>
        <v>2</v>
      </c>
      <c r="X27" s="6" t="str">
        <f>IFERROR(__xludf.DUMMYFUNCTION("""COMPUTED_VALUE"""),"IRD")</f>
        <v>IRD</v>
      </c>
      <c r="Y27" s="6" t="s">
        <v>225</v>
      </c>
    </row>
    <row r="28">
      <c r="S28" s="6" t="str">
        <f>IFERROR(__xludf.DUMMYFUNCTION("""COMPUTED_VALUE"""),"PRD-180826-000034")</f>
        <v>PRD-180826-000034</v>
      </c>
      <c r="T28" s="6" t="str">
        <f>IFERROR(__xludf.DUMMYFUNCTION("""COMPUTED_VALUE"""),"18/08/2026 14:16")</f>
        <v>18/08/2026 14:16</v>
      </c>
      <c r="U28" s="6" t="str">
        <f>IFERROR(__xludf.DUMMYFUNCTION("""COMPUTED_VALUE"""),"Kodriyah")</f>
        <v>Kodriyah</v>
      </c>
      <c r="V28" s="6" t="str">
        <f>IFERROR(__xludf.DUMMYFUNCTION("""COMPUTED_VALUE"""),"Shirt")</f>
        <v>Shirt</v>
      </c>
      <c r="W28" s="6">
        <f>IFERROR(__xludf.DUMMYFUNCTION("""COMPUTED_VALUE"""),3.0)</f>
        <v>3</v>
      </c>
      <c r="X28" s="6" t="str">
        <f>IFERROR(__xludf.DUMMYFUNCTION("""COMPUTED_VALUE"""),"IRD")</f>
        <v>IRD</v>
      </c>
      <c r="Y28" s="6" t="s">
        <v>225</v>
      </c>
    </row>
    <row r="29">
      <c r="S29" s="6" t="str">
        <f>IFERROR(__xludf.DUMMYFUNCTION("""COMPUTED_VALUE"""),"PRD-180826-000035")</f>
        <v>PRD-180826-000035</v>
      </c>
      <c r="T29" s="6" t="str">
        <f>IFERROR(__xludf.DUMMYFUNCTION("""COMPUTED_VALUE"""),"18/08/2026 14:16")</f>
        <v>18/08/2026 14:16</v>
      </c>
      <c r="U29" s="6" t="str">
        <f>IFERROR(__xludf.DUMMYFUNCTION("""COMPUTED_VALUE"""),"Kodriyah")</f>
        <v>Kodriyah</v>
      </c>
      <c r="V29" s="6" t="str">
        <f>IFERROR(__xludf.DUMMYFUNCTION("""COMPUTED_VALUE"""),"Vest")</f>
        <v>Vest</v>
      </c>
      <c r="W29" s="6">
        <f>IFERROR(__xludf.DUMMYFUNCTION("""COMPUTED_VALUE"""),2.0)</f>
        <v>2</v>
      </c>
      <c r="X29" s="6" t="str">
        <f>IFERROR(__xludf.DUMMYFUNCTION("""COMPUTED_VALUE"""),"IRD")</f>
        <v>IRD</v>
      </c>
      <c r="Y29" s="6" t="s">
        <v>225</v>
      </c>
    </row>
    <row r="30">
      <c r="S30" s="6" t="str">
        <f>IFERROR(__xludf.DUMMYFUNCTION("""COMPUTED_VALUE"""),"PRD-180826-000036")</f>
        <v>PRD-180826-000036</v>
      </c>
      <c r="T30" s="6" t="str">
        <f>IFERROR(__xludf.DUMMYFUNCTION("""COMPUTED_VALUE"""),"18/08/2026 14:17")</f>
        <v>18/08/2026 14:17</v>
      </c>
      <c r="U30" s="6" t="str">
        <f>IFERROR(__xludf.DUMMYFUNCTION("""COMPUTED_VALUE"""),"Kodriyah")</f>
        <v>Kodriyah</v>
      </c>
      <c r="V30" s="6" t="str">
        <f>IFERROR(__xludf.DUMMYFUNCTION("""COMPUTED_VALUE"""),"Trousers")</f>
        <v>Trousers</v>
      </c>
      <c r="W30" s="6">
        <f>IFERROR(__xludf.DUMMYFUNCTION("""COMPUTED_VALUE"""),6.0)</f>
        <v>6</v>
      </c>
      <c r="X30" s="6" t="str">
        <f>IFERROR(__xludf.DUMMYFUNCTION("""COMPUTED_VALUE"""),"Cinnamon")</f>
        <v>Cinnamon</v>
      </c>
      <c r="Y30" s="6" t="s">
        <v>225</v>
      </c>
    </row>
    <row r="31">
      <c r="S31" s="6" t="str">
        <f>IFERROR(__xludf.DUMMYFUNCTION("""COMPUTED_VALUE"""),"PRD-180826-000037")</f>
        <v>PRD-180826-000037</v>
      </c>
      <c r="T31" s="6" t="str">
        <f>IFERROR(__xludf.DUMMYFUNCTION("""COMPUTED_VALUE"""),"18/08/2026 14:17")</f>
        <v>18/08/2026 14:17</v>
      </c>
      <c r="U31" s="6" t="str">
        <f>IFERROR(__xludf.DUMMYFUNCTION("""COMPUTED_VALUE"""),"Kodriyah")</f>
        <v>Kodriyah</v>
      </c>
      <c r="V31" s="6" t="str">
        <f>IFERROR(__xludf.DUMMYFUNCTION("""COMPUTED_VALUE"""),"Shirt")</f>
        <v>Shirt</v>
      </c>
      <c r="W31" s="6">
        <f>IFERROR(__xludf.DUMMYFUNCTION("""COMPUTED_VALUE"""),9.0)</f>
        <v>9</v>
      </c>
      <c r="X31" s="6" t="str">
        <f>IFERROR(__xludf.DUMMYFUNCTION("""COMPUTED_VALUE"""),"Cinnamon")</f>
        <v>Cinnamon</v>
      </c>
      <c r="Y31" s="6" t="s">
        <v>225</v>
      </c>
    </row>
    <row r="32">
      <c r="S32" s="6" t="str">
        <f>IFERROR(__xludf.DUMMYFUNCTION("""COMPUTED_VALUE"""),"PRD-180826-000038")</f>
        <v>PRD-180826-000038</v>
      </c>
      <c r="T32" s="6" t="str">
        <f>IFERROR(__xludf.DUMMYFUNCTION("""COMPUTED_VALUE"""),"18/08/2026 14:17")</f>
        <v>18/08/2026 14:17</v>
      </c>
      <c r="U32" s="6" t="str">
        <f>IFERROR(__xludf.DUMMYFUNCTION("""COMPUTED_VALUE"""),"Kodriyah")</f>
        <v>Kodriyah</v>
      </c>
      <c r="V32" s="6" t="str">
        <f>IFERROR(__xludf.DUMMYFUNCTION("""COMPUTED_VALUE"""),"Dress")</f>
        <v>Dress</v>
      </c>
      <c r="W32" s="6">
        <f>IFERROR(__xludf.DUMMYFUNCTION("""COMPUTED_VALUE"""),8.0)</f>
        <v>8</v>
      </c>
      <c r="X32" s="6" t="str">
        <f>IFERROR(__xludf.DUMMYFUNCTION("""COMPUTED_VALUE"""),"Cinnamon")</f>
        <v>Cinnamon</v>
      </c>
      <c r="Y32" s="6" t="s">
        <v>225</v>
      </c>
    </row>
    <row r="33">
      <c r="S33" s="6" t="str">
        <f>IFERROR(__xludf.DUMMYFUNCTION("""COMPUTED_VALUE"""),"PRD-180826-000039")</f>
        <v>PRD-180826-000039</v>
      </c>
      <c r="T33" s="6" t="str">
        <f>IFERROR(__xludf.DUMMYFUNCTION("""COMPUTED_VALUE"""),"18/08/2026 14:17")</f>
        <v>18/08/2026 14:17</v>
      </c>
      <c r="U33" s="6" t="str">
        <f>IFERROR(__xludf.DUMMYFUNCTION("""COMPUTED_VALUE"""),"Kodriyah")</f>
        <v>Kodriyah</v>
      </c>
      <c r="V33" s="6" t="str">
        <f>IFERROR(__xludf.DUMMYFUNCTION("""COMPUTED_VALUE"""),"Vest")</f>
        <v>Vest</v>
      </c>
      <c r="W33" s="6">
        <f>IFERROR(__xludf.DUMMYFUNCTION("""COMPUTED_VALUE"""),6.0)</f>
        <v>6</v>
      </c>
      <c r="X33" s="6" t="str">
        <f>IFERROR(__xludf.DUMMYFUNCTION("""COMPUTED_VALUE"""),"Cinnamon")</f>
        <v>Cinnamon</v>
      </c>
      <c r="Y33" s="6" t="s">
        <v>225</v>
      </c>
    </row>
    <row r="34">
      <c r="S34" s="6" t="str">
        <f>IFERROR(__xludf.DUMMYFUNCTION("""COMPUTED_VALUE"""),"PRD-180826-000040")</f>
        <v>PRD-180826-000040</v>
      </c>
      <c r="T34" s="6" t="str">
        <f>IFERROR(__xludf.DUMMYFUNCTION("""COMPUTED_VALUE"""),"18/08/2026 14:19")</f>
        <v>18/08/2026 14:19</v>
      </c>
      <c r="U34" s="6" t="str">
        <f>IFERROR(__xludf.DUMMYFUNCTION("""COMPUTED_VALUE"""),"Kodriyah")</f>
        <v>Kodriyah</v>
      </c>
      <c r="V34" s="6" t="str">
        <f>IFERROR(__xludf.DUMMYFUNCTION("""COMPUTED_VALUE"""),"Skirt")</f>
        <v>Skirt</v>
      </c>
      <c r="W34" s="6">
        <f>IFERROR(__xludf.DUMMYFUNCTION("""COMPUTED_VALUE"""),1.0)</f>
        <v>1</v>
      </c>
      <c r="X34" s="6" t="str">
        <f>IFERROR(__xludf.DUMMYFUNCTION("""COMPUTED_VALUE"""),"LiFeng")</f>
        <v>LiFeng</v>
      </c>
      <c r="Y34" s="6" t="s">
        <v>225</v>
      </c>
    </row>
    <row r="35">
      <c r="S35" s="6" t="str">
        <f>IFERROR(__xludf.DUMMYFUNCTION("""COMPUTED_VALUE"""),"PRD-180826-000041")</f>
        <v>PRD-180826-000041</v>
      </c>
      <c r="T35" s="6" t="str">
        <f>IFERROR(__xludf.DUMMYFUNCTION("""COMPUTED_VALUE"""),"18/08/2026 14:19")</f>
        <v>18/08/2026 14:19</v>
      </c>
      <c r="U35" s="6" t="str">
        <f>IFERROR(__xludf.DUMMYFUNCTION("""COMPUTED_VALUE"""),"Kodriyah")</f>
        <v>Kodriyah</v>
      </c>
      <c r="V35" s="6" t="str">
        <f>IFERROR(__xludf.DUMMYFUNCTION("""COMPUTED_VALUE"""),"Blouse")</f>
        <v>Blouse</v>
      </c>
      <c r="W35" s="6">
        <f>IFERROR(__xludf.DUMMYFUNCTION("""COMPUTED_VALUE"""),1.0)</f>
        <v>1</v>
      </c>
      <c r="X35" s="6" t="str">
        <f>IFERROR(__xludf.DUMMYFUNCTION("""COMPUTED_VALUE"""),"LiFeng")</f>
        <v>LiFeng</v>
      </c>
      <c r="Y35" s="6" t="s">
        <v>225</v>
      </c>
    </row>
    <row r="36">
      <c r="S36" s="6" t="str">
        <f>IFERROR(__xludf.DUMMYFUNCTION("""COMPUTED_VALUE"""),"PRD-180826-000042")</f>
        <v>PRD-180826-000042</v>
      </c>
      <c r="T36" s="6" t="str">
        <f>IFERROR(__xludf.DUMMYFUNCTION("""COMPUTED_VALUE"""),"18/08/2026 14:19")</f>
        <v>18/08/2026 14:19</v>
      </c>
      <c r="U36" s="6" t="str">
        <f>IFERROR(__xludf.DUMMYFUNCTION("""COMPUTED_VALUE"""),"Kodriyah")</f>
        <v>Kodriyah</v>
      </c>
      <c r="V36" s="6" t="str">
        <f>IFERROR(__xludf.DUMMYFUNCTION("""COMPUTED_VALUE"""),"Jacket")</f>
        <v>Jacket</v>
      </c>
      <c r="W36" s="6">
        <f>IFERROR(__xludf.DUMMYFUNCTION("""COMPUTED_VALUE"""),1.0)</f>
        <v>1</v>
      </c>
      <c r="X36" s="6" t="str">
        <f>IFERROR(__xludf.DUMMYFUNCTION("""COMPUTED_VALUE"""),"LiFeng")</f>
        <v>LiFeng</v>
      </c>
      <c r="Y36" s="6" t="s">
        <v>225</v>
      </c>
    </row>
    <row r="37">
      <c r="S37" s="6" t="str">
        <f>IFERROR(__xludf.DUMMYFUNCTION("""COMPUTED_VALUE"""),"PRD-180826-000043")</f>
        <v>PRD-180826-000043</v>
      </c>
      <c r="T37" s="6" t="str">
        <f>IFERROR(__xludf.DUMMYFUNCTION("""COMPUTED_VALUE"""),"18/08/2026 14:19")</f>
        <v>18/08/2026 14:19</v>
      </c>
      <c r="U37" s="6" t="str">
        <f>IFERROR(__xludf.DUMMYFUNCTION("""COMPUTED_VALUE"""),"Kodriyah")</f>
        <v>Kodriyah</v>
      </c>
      <c r="V37" s="6" t="str">
        <f>IFERROR(__xludf.DUMMYFUNCTION("""COMPUTED_VALUE"""),"Dress")</f>
        <v>Dress</v>
      </c>
      <c r="W37" s="6">
        <f>IFERROR(__xludf.DUMMYFUNCTION("""COMPUTED_VALUE"""),3.0)</f>
        <v>3</v>
      </c>
      <c r="X37" s="6" t="str">
        <f>IFERROR(__xludf.DUMMYFUNCTION("""COMPUTED_VALUE"""),"LiFeng")</f>
        <v>LiFeng</v>
      </c>
      <c r="Y37" s="6" t="s">
        <v>225</v>
      </c>
    </row>
    <row r="38">
      <c r="S38" s="6" t="str">
        <f>IFERROR(__xludf.DUMMYFUNCTION("""COMPUTED_VALUE"""),"PRD-180826-000044")</f>
        <v>PRD-180826-000044</v>
      </c>
      <c r="T38" s="6" t="str">
        <f>IFERROR(__xludf.DUMMYFUNCTION("""COMPUTED_VALUE"""),"18/08/2026 14:20")</f>
        <v>18/08/2026 14:20</v>
      </c>
      <c r="U38" s="6" t="str">
        <f>IFERROR(__xludf.DUMMYFUNCTION("""COMPUTED_VALUE"""),"Kodriyah")</f>
        <v>Kodriyah</v>
      </c>
      <c r="V38" s="6" t="str">
        <f>IFERROR(__xludf.DUMMYFUNCTION("""COMPUTED_VALUE"""),"Trousers")</f>
        <v>Trousers</v>
      </c>
      <c r="W38" s="6">
        <f>IFERROR(__xludf.DUMMYFUNCTION("""COMPUTED_VALUE"""),6.0)</f>
        <v>6</v>
      </c>
      <c r="X38" s="6" t="str">
        <f>IFERROR(__xludf.DUMMYFUNCTION("""COMPUTED_VALUE"""),"Banquet")</f>
        <v>Banquet</v>
      </c>
      <c r="Y38" s="6" t="s">
        <v>225</v>
      </c>
    </row>
    <row r="39">
      <c r="S39" s="6" t="str">
        <f>IFERROR(__xludf.DUMMYFUNCTION("""COMPUTED_VALUE"""),"PRD-180826-000045")</f>
        <v>PRD-180826-000045</v>
      </c>
      <c r="T39" s="6" t="str">
        <f>IFERROR(__xludf.DUMMYFUNCTION("""COMPUTED_VALUE"""),"18/08/2026 14:20")</f>
        <v>18/08/2026 14:20</v>
      </c>
      <c r="U39" s="6" t="str">
        <f>IFERROR(__xludf.DUMMYFUNCTION("""COMPUTED_VALUE"""),"Kodriyah")</f>
        <v>Kodriyah</v>
      </c>
      <c r="V39" s="6" t="str">
        <f>IFERROR(__xludf.DUMMYFUNCTION("""COMPUTED_VALUE"""),"Shirt")</f>
        <v>Shirt</v>
      </c>
      <c r="W39" s="6">
        <f>IFERROR(__xludf.DUMMYFUNCTION("""COMPUTED_VALUE"""),2.0)</f>
        <v>2</v>
      </c>
      <c r="X39" s="6" t="str">
        <f>IFERROR(__xludf.DUMMYFUNCTION("""COMPUTED_VALUE"""),"Banquet")</f>
        <v>Banquet</v>
      </c>
      <c r="Y39" s="6" t="s">
        <v>225</v>
      </c>
    </row>
    <row r="40">
      <c r="S40" s="6" t="str">
        <f>IFERROR(__xludf.DUMMYFUNCTION("""COMPUTED_VALUE"""),"PRD-180826-000046")</f>
        <v>PRD-180826-000046</v>
      </c>
      <c r="T40" s="6" t="str">
        <f>IFERROR(__xludf.DUMMYFUNCTION("""COMPUTED_VALUE"""),"18/08/2026 14:20")</f>
        <v>18/08/2026 14:20</v>
      </c>
      <c r="U40" s="6" t="str">
        <f>IFERROR(__xludf.DUMMYFUNCTION("""COMPUTED_VALUE"""),"Kodriyah")</f>
        <v>Kodriyah</v>
      </c>
      <c r="V40" s="6" t="str">
        <f>IFERROR(__xludf.DUMMYFUNCTION("""COMPUTED_VALUE"""),"Jacket")</f>
        <v>Jacket</v>
      </c>
      <c r="W40" s="6">
        <f>IFERROR(__xludf.DUMMYFUNCTION("""COMPUTED_VALUE"""),2.0)</f>
        <v>2</v>
      </c>
      <c r="X40" s="6" t="str">
        <f>IFERROR(__xludf.DUMMYFUNCTION("""COMPUTED_VALUE"""),"Banquet")</f>
        <v>Banquet</v>
      </c>
      <c r="Y40" s="6" t="s">
        <v>225</v>
      </c>
    </row>
    <row r="41">
      <c r="S41" s="6" t="str">
        <f>IFERROR(__xludf.DUMMYFUNCTION("""COMPUTED_VALUE"""),"PRD-180826-000047")</f>
        <v>PRD-180826-000047</v>
      </c>
      <c r="T41" s="6" t="str">
        <f>IFERROR(__xludf.DUMMYFUNCTION("""COMPUTED_VALUE"""),"18/08/2026 14:20")</f>
        <v>18/08/2026 14:20</v>
      </c>
      <c r="U41" s="6" t="str">
        <f>IFERROR(__xludf.DUMMYFUNCTION("""COMPUTED_VALUE"""),"Kodriyah")</f>
        <v>Kodriyah</v>
      </c>
      <c r="V41" s="6" t="str">
        <f>IFERROR(__xludf.DUMMYFUNCTION("""COMPUTED_VALUE"""),"Polo Shirt")</f>
        <v>Polo Shirt</v>
      </c>
      <c r="W41" s="6">
        <f>IFERROR(__xludf.DUMMYFUNCTION("""COMPUTED_VALUE"""),8.0)</f>
        <v>8</v>
      </c>
      <c r="X41" s="6" t="str">
        <f>IFERROR(__xludf.DUMMYFUNCTION("""COMPUTED_VALUE"""),"Banquet")</f>
        <v>Banquet</v>
      </c>
      <c r="Y41" s="6" t="s">
        <v>225</v>
      </c>
    </row>
    <row r="42">
      <c r="S42" s="6" t="str">
        <f>IFERROR(__xludf.DUMMYFUNCTION("""COMPUTED_VALUE"""),"PRD-180826-000048")</f>
        <v>PRD-180826-000048</v>
      </c>
      <c r="T42" s="6" t="str">
        <f>IFERROR(__xludf.DUMMYFUNCTION("""COMPUTED_VALUE"""),"18/08/2026 14:22")</f>
        <v>18/08/2026 14:22</v>
      </c>
      <c r="U42" s="6" t="str">
        <f>IFERROR(__xludf.DUMMYFUNCTION("""COMPUTED_VALUE"""),"Kodriyah")</f>
        <v>Kodriyah</v>
      </c>
      <c r="V42" s="6" t="str">
        <f>IFERROR(__xludf.DUMMYFUNCTION("""COMPUTED_VALUE"""),"Trousers")</f>
        <v>Trousers</v>
      </c>
      <c r="W42" s="6">
        <f>IFERROR(__xludf.DUMMYFUNCTION("""COMPUTED_VALUE"""),5.0)</f>
        <v>5</v>
      </c>
      <c r="X42" s="6" t="str">
        <f>IFERROR(__xludf.DUMMYFUNCTION("""COMPUTED_VALUE"""),"Steward")</f>
        <v>Steward</v>
      </c>
      <c r="Y42" s="6" t="s">
        <v>225</v>
      </c>
    </row>
    <row r="43">
      <c r="S43" s="6" t="str">
        <f>IFERROR(__xludf.DUMMYFUNCTION("""COMPUTED_VALUE"""),"PRD-180826-000049")</f>
        <v>PRD-180826-000049</v>
      </c>
      <c r="T43" s="6" t="str">
        <f>IFERROR(__xludf.DUMMYFUNCTION("""COMPUTED_VALUE"""),"18/08/2026 14:22")</f>
        <v>18/08/2026 14:22</v>
      </c>
      <c r="U43" s="6" t="str">
        <f>IFERROR(__xludf.DUMMYFUNCTION("""COMPUTED_VALUE"""),"Kodriyah")</f>
        <v>Kodriyah</v>
      </c>
      <c r="V43" s="6" t="str">
        <f>IFERROR(__xludf.DUMMYFUNCTION("""COMPUTED_VALUE"""),"Polo Shirt")</f>
        <v>Polo Shirt</v>
      </c>
      <c r="W43" s="6">
        <f>IFERROR(__xludf.DUMMYFUNCTION("""COMPUTED_VALUE"""),14.0)</f>
        <v>14</v>
      </c>
      <c r="X43" s="6" t="str">
        <f>IFERROR(__xludf.DUMMYFUNCTION("""COMPUTED_VALUE"""),"Steward")</f>
        <v>Steward</v>
      </c>
      <c r="Y43" s="6" t="s">
        <v>225</v>
      </c>
    </row>
    <row r="44">
      <c r="S44" s="6" t="str">
        <f>IFERROR(__xludf.DUMMYFUNCTION("""COMPUTED_VALUE"""),"PRD-180826-000050")</f>
        <v>PRD-180826-000050</v>
      </c>
      <c r="T44" s="6" t="str">
        <f>IFERROR(__xludf.DUMMYFUNCTION("""COMPUTED_VALUE"""),"18/08/2026 14:23")</f>
        <v>18/08/2026 14:23</v>
      </c>
      <c r="U44" s="6" t="str">
        <f>IFERROR(__xludf.DUMMYFUNCTION("""COMPUTED_VALUE"""),"Kodriyah")</f>
        <v>Kodriyah</v>
      </c>
      <c r="V44" s="6" t="str">
        <f>IFERROR(__xludf.DUMMYFUNCTION("""COMPUTED_VALUE"""),"Trousers")</f>
        <v>Trousers</v>
      </c>
      <c r="W44" s="6">
        <f>IFERROR(__xludf.DUMMYFUNCTION("""COMPUTED_VALUE"""),8.0)</f>
        <v>8</v>
      </c>
      <c r="X44" s="6" t="str">
        <f>IFERROR(__xludf.DUMMYFUNCTION("""COMPUTED_VALUE"""),"Engineering")</f>
        <v>Engineering</v>
      </c>
      <c r="Y44" s="6" t="s">
        <v>225</v>
      </c>
    </row>
    <row r="45">
      <c r="S45" s="6" t="str">
        <f>IFERROR(__xludf.DUMMYFUNCTION("""COMPUTED_VALUE"""),"PRD-180826-000051")</f>
        <v>PRD-180826-000051</v>
      </c>
      <c r="T45" s="6" t="str">
        <f>IFERROR(__xludf.DUMMYFUNCTION("""COMPUTED_VALUE"""),"18/08/2026 14:23")</f>
        <v>18/08/2026 14:23</v>
      </c>
      <c r="U45" s="6" t="str">
        <f>IFERROR(__xludf.DUMMYFUNCTION("""COMPUTED_VALUE"""),"Kodriyah")</f>
        <v>Kodriyah</v>
      </c>
      <c r="V45" s="6" t="str">
        <f>IFERROR(__xludf.DUMMYFUNCTION("""COMPUTED_VALUE"""),"Jacket")</f>
        <v>Jacket</v>
      </c>
      <c r="W45" s="6">
        <f>IFERROR(__xludf.DUMMYFUNCTION("""COMPUTED_VALUE"""),8.0)</f>
        <v>8</v>
      </c>
      <c r="X45" s="6" t="str">
        <f>IFERROR(__xludf.DUMMYFUNCTION("""COMPUTED_VALUE"""),"Engineering")</f>
        <v>Engineering</v>
      </c>
      <c r="Y45" s="6" t="s">
        <v>225</v>
      </c>
    </row>
    <row r="46">
      <c r="S46" s="6" t="str">
        <f>IFERROR(__xludf.DUMMYFUNCTION("""COMPUTED_VALUE"""),"PRD-180826-000052")</f>
        <v>PRD-180826-000052</v>
      </c>
      <c r="T46" s="6" t="str">
        <f>IFERROR(__xludf.DUMMYFUNCTION("""COMPUTED_VALUE"""),"18/08/2026 14:24")</f>
        <v>18/08/2026 14:24</v>
      </c>
      <c r="U46" s="6" t="str">
        <f>IFERROR(__xludf.DUMMYFUNCTION("""COMPUTED_VALUE"""),"Kodriyah")</f>
        <v>Kodriyah</v>
      </c>
      <c r="V46" s="6" t="str">
        <f>IFERROR(__xludf.DUMMYFUNCTION("""COMPUTED_VALUE"""),"Trousers")</f>
        <v>Trousers</v>
      </c>
      <c r="W46" s="6">
        <f>IFERROR(__xludf.DUMMYFUNCTION("""COMPUTED_VALUE"""),4.0)</f>
        <v>4</v>
      </c>
      <c r="X46" s="6" t="str">
        <f>IFERROR(__xludf.DUMMYFUNCTION("""COMPUTED_VALUE"""),"Wellness")</f>
        <v>Wellness</v>
      </c>
      <c r="Y46" s="6" t="s">
        <v>225</v>
      </c>
    </row>
    <row r="47">
      <c r="S47" s="6" t="str">
        <f>IFERROR(__xludf.DUMMYFUNCTION("""COMPUTED_VALUE"""),"PRD-180826-000053")</f>
        <v>PRD-180826-000053</v>
      </c>
      <c r="T47" s="6" t="str">
        <f>IFERROR(__xludf.DUMMYFUNCTION("""COMPUTED_VALUE"""),"18/08/2026 14:24")</f>
        <v>18/08/2026 14:24</v>
      </c>
      <c r="U47" s="6" t="str">
        <f>IFERROR(__xludf.DUMMYFUNCTION("""COMPUTED_VALUE"""),"Kodriyah")</f>
        <v>Kodriyah</v>
      </c>
      <c r="V47" s="6" t="str">
        <f>IFERROR(__xludf.DUMMYFUNCTION("""COMPUTED_VALUE"""),"Blouse")</f>
        <v>Blouse</v>
      </c>
      <c r="W47" s="6">
        <f>IFERROR(__xludf.DUMMYFUNCTION("""COMPUTED_VALUE"""),4.0)</f>
        <v>4</v>
      </c>
      <c r="X47" s="6" t="str">
        <f>IFERROR(__xludf.DUMMYFUNCTION("""COMPUTED_VALUE"""),"Wellness")</f>
        <v>Wellness</v>
      </c>
      <c r="Y47" s="6" t="s">
        <v>225</v>
      </c>
    </row>
    <row r="48">
      <c r="S48" s="6" t="str">
        <f>IFERROR(__xludf.DUMMYFUNCTION("""COMPUTED_VALUE"""),"PRD-180826-000054")</f>
        <v>PRD-180826-000054</v>
      </c>
      <c r="T48" s="6" t="str">
        <f>IFERROR(__xludf.DUMMYFUNCTION("""COMPUTED_VALUE"""),"18/08/2026 14:24")</f>
        <v>18/08/2026 14:24</v>
      </c>
      <c r="U48" s="6" t="str">
        <f>IFERROR(__xludf.DUMMYFUNCTION("""COMPUTED_VALUE"""),"Kodriyah")</f>
        <v>Kodriyah</v>
      </c>
      <c r="V48" s="6" t="str">
        <f>IFERROR(__xludf.DUMMYFUNCTION("""COMPUTED_VALUE"""),"Dress")</f>
        <v>Dress</v>
      </c>
      <c r="W48" s="6">
        <f>IFERROR(__xludf.DUMMYFUNCTION("""COMPUTED_VALUE"""),2.0)</f>
        <v>2</v>
      </c>
      <c r="X48" s="6" t="str">
        <f>IFERROR(__xludf.DUMMYFUNCTION("""COMPUTED_VALUE"""),"Wellness")</f>
        <v>Wellness</v>
      </c>
      <c r="Y48" s="6" t="s">
        <v>225</v>
      </c>
    </row>
    <row r="49">
      <c r="S49" s="6" t="str">
        <f>IFERROR(__xludf.DUMMYFUNCTION("""COMPUTED_VALUE"""),"PRD-180826-000055")</f>
        <v>PRD-180826-000055</v>
      </c>
      <c r="T49" s="6" t="str">
        <f>IFERROR(__xludf.DUMMYFUNCTION("""COMPUTED_VALUE"""),"18/08/2026 14:24")</f>
        <v>18/08/2026 14:24</v>
      </c>
      <c r="U49" s="6" t="str">
        <f>IFERROR(__xludf.DUMMYFUNCTION("""COMPUTED_VALUE"""),"Kodriyah")</f>
        <v>Kodriyah</v>
      </c>
      <c r="V49" s="6" t="str">
        <f>IFERROR(__xludf.DUMMYFUNCTION("""COMPUTED_VALUE"""),"Trousers")</f>
        <v>Trousers</v>
      </c>
      <c r="W49" s="6">
        <f>IFERROR(__xludf.DUMMYFUNCTION("""COMPUTED_VALUE"""),4.0)</f>
        <v>4</v>
      </c>
      <c r="X49" s="6" t="str">
        <f>IFERROR(__xludf.DUMMYFUNCTION("""COMPUTED_VALUE"""),"Wellness")</f>
        <v>Wellness</v>
      </c>
      <c r="Y49" s="6" t="s">
        <v>225</v>
      </c>
    </row>
    <row r="50">
      <c r="S50" s="6" t="str">
        <f>IFERROR(__xludf.DUMMYFUNCTION("""COMPUTED_VALUE"""),"PRD-180826-000056")</f>
        <v>PRD-180826-000056</v>
      </c>
      <c r="T50" s="6" t="str">
        <f>IFERROR(__xludf.DUMMYFUNCTION("""COMPUTED_VALUE"""),"18/08/2026 14:24")</f>
        <v>18/08/2026 14:24</v>
      </c>
      <c r="U50" s="6" t="str">
        <f>IFERROR(__xludf.DUMMYFUNCTION("""COMPUTED_VALUE"""),"Kodriyah")</f>
        <v>Kodriyah</v>
      </c>
      <c r="V50" s="6" t="str">
        <f>IFERROR(__xludf.DUMMYFUNCTION("""COMPUTED_VALUE"""),"Blouse")</f>
        <v>Blouse</v>
      </c>
      <c r="W50" s="6">
        <f>IFERROR(__xludf.DUMMYFUNCTION("""COMPUTED_VALUE"""),4.0)</f>
        <v>4</v>
      </c>
      <c r="X50" s="6" t="str">
        <f>IFERROR(__xludf.DUMMYFUNCTION("""COMPUTED_VALUE"""),"Wellness")</f>
        <v>Wellness</v>
      </c>
      <c r="Y50" s="6" t="s">
        <v>225</v>
      </c>
    </row>
    <row r="51">
      <c r="S51" s="6" t="str">
        <f>IFERROR(__xludf.DUMMYFUNCTION("""COMPUTED_VALUE"""),"PRD-180826-000057")</f>
        <v>PRD-180826-000057</v>
      </c>
      <c r="T51" s="6" t="str">
        <f>IFERROR(__xludf.DUMMYFUNCTION("""COMPUTED_VALUE"""),"18/08/2026 14:24")</f>
        <v>18/08/2026 14:24</v>
      </c>
      <c r="U51" s="6" t="str">
        <f>IFERROR(__xludf.DUMMYFUNCTION("""COMPUTED_VALUE"""),"Kodriyah")</f>
        <v>Kodriyah</v>
      </c>
      <c r="V51" s="6" t="str">
        <f>IFERROR(__xludf.DUMMYFUNCTION("""COMPUTED_VALUE"""),"Dress")</f>
        <v>Dress</v>
      </c>
      <c r="W51" s="6">
        <f>IFERROR(__xludf.DUMMYFUNCTION("""COMPUTED_VALUE"""),2.0)</f>
        <v>2</v>
      </c>
      <c r="X51" s="6" t="str">
        <f>IFERROR(__xludf.DUMMYFUNCTION("""COMPUTED_VALUE"""),"Wellness")</f>
        <v>Wellness</v>
      </c>
      <c r="Y51" s="6" t="s">
        <v>225</v>
      </c>
    </row>
    <row r="52">
      <c r="S52" s="6" t="str">
        <f>IFERROR(__xludf.DUMMYFUNCTION("""COMPUTED_VALUE"""),"PRD-180826-000058")</f>
        <v>PRD-180826-000058</v>
      </c>
      <c r="T52" s="6" t="str">
        <f>IFERROR(__xludf.DUMMYFUNCTION("""COMPUTED_VALUE"""),"18/08/2026 14:32")</f>
        <v>18/08/2026 14:32</v>
      </c>
      <c r="U52" s="6" t="str">
        <f>IFERROR(__xludf.DUMMYFUNCTION("""COMPUTED_VALUE"""),"Kodriyah")</f>
        <v>Kodriyah</v>
      </c>
      <c r="V52" s="6" t="str">
        <f>IFERROR(__xludf.DUMMYFUNCTION("""COMPUTED_VALUE"""),"Trousers")</f>
        <v>Trousers</v>
      </c>
      <c r="W52" s="6">
        <f>IFERROR(__xludf.DUMMYFUNCTION("""COMPUTED_VALUE"""),44.0)</f>
        <v>44</v>
      </c>
      <c r="X52" s="6" t="str">
        <f>IFERROR(__xludf.DUMMYFUNCTION("""COMPUTED_VALUE"""),"Kitchen / Culinary")</f>
        <v>Kitchen / Culinary</v>
      </c>
      <c r="Y52" s="6" t="s">
        <v>225</v>
      </c>
    </row>
    <row r="53">
      <c r="S53" s="6" t="str">
        <f>IFERROR(__xludf.DUMMYFUNCTION("""COMPUTED_VALUE"""),"PRD-180826-000059")</f>
        <v>PRD-180826-000059</v>
      </c>
      <c r="T53" s="6" t="str">
        <f>IFERROR(__xludf.DUMMYFUNCTION("""COMPUTED_VALUE"""),"18/08/2026 14:32")</f>
        <v>18/08/2026 14:32</v>
      </c>
      <c r="U53" s="6" t="str">
        <f>IFERROR(__xludf.DUMMYFUNCTION("""COMPUTED_VALUE"""),"Kodriyah")</f>
        <v>Kodriyah</v>
      </c>
      <c r="V53" s="6" t="str">
        <f>IFERROR(__xludf.DUMMYFUNCTION("""COMPUTED_VALUE"""),"Cook Jacket")</f>
        <v>Cook Jacket</v>
      </c>
      <c r="W53" s="6">
        <f>IFERROR(__xludf.DUMMYFUNCTION("""COMPUTED_VALUE"""),44.0)</f>
        <v>44</v>
      </c>
      <c r="X53" s="6" t="str">
        <f>IFERROR(__xludf.DUMMYFUNCTION("""COMPUTED_VALUE"""),"Kitchen / Culinary")</f>
        <v>Kitchen / Culinary</v>
      </c>
      <c r="Y53" s="6" t="s">
        <v>225</v>
      </c>
    </row>
    <row r="54">
      <c r="S54" s="6" t="str">
        <f>IFERROR(__xludf.DUMMYFUNCTION("""COMPUTED_VALUE"""),"PRD-180826-000060")</f>
        <v>PRD-180826-000060</v>
      </c>
      <c r="T54" s="6" t="str">
        <f>IFERROR(__xludf.DUMMYFUNCTION("""COMPUTED_VALUE"""),"18/08/2026 14:38")</f>
        <v>18/08/2026 14:38</v>
      </c>
      <c r="U54" s="6" t="str">
        <f>IFERROR(__xludf.DUMMYFUNCTION("""COMPUTED_VALUE"""),"Kodriyah")</f>
        <v>Kodriyah</v>
      </c>
      <c r="V54" s="6" t="str">
        <f>IFERROR(__xludf.DUMMYFUNCTION("""COMPUTED_VALUE"""),"Napkin")</f>
        <v>Napkin</v>
      </c>
      <c r="W54" s="6">
        <f>IFERROR(__xludf.DUMMYFUNCTION("""COMPUTED_VALUE"""),34.0)</f>
        <v>34</v>
      </c>
      <c r="X54" s="6" t="str">
        <f>IFERROR(__xludf.DUMMYFUNCTION("""COMPUTED_VALUE"""),"IRD")</f>
        <v>IRD</v>
      </c>
      <c r="Y54" s="6" t="s">
        <v>225</v>
      </c>
    </row>
    <row r="55">
      <c r="S55" s="6" t="str">
        <f>IFERROR(__xludf.DUMMYFUNCTION("""COMPUTED_VALUE"""),"PRD-180826-000061")</f>
        <v>PRD-180826-000061</v>
      </c>
      <c r="T55" s="6" t="str">
        <f>IFERROR(__xludf.DUMMYFUNCTION("""COMPUTED_VALUE"""),"18/08/2026 14:39")</f>
        <v>18/08/2026 14:39</v>
      </c>
      <c r="U55" s="6" t="str">
        <f>IFERROR(__xludf.DUMMYFUNCTION("""COMPUTED_VALUE"""),"Kodriyah")</f>
        <v>Kodriyah</v>
      </c>
      <c r="V55" s="6" t="str">
        <f>IFERROR(__xludf.DUMMYFUNCTION("""COMPUTED_VALUE"""),"Napkin")</f>
        <v>Napkin</v>
      </c>
      <c r="W55" s="6">
        <f>IFERROR(__xludf.DUMMYFUNCTION("""COMPUTED_VALUE"""),118.0)</f>
        <v>118</v>
      </c>
      <c r="X55" s="6" t="str">
        <f>IFERROR(__xludf.DUMMYFUNCTION("""COMPUTED_VALUE"""),"Cinnamon")</f>
        <v>Cinnamon</v>
      </c>
      <c r="Y55" s="6" t="s">
        <v>225</v>
      </c>
    </row>
    <row r="56">
      <c r="S56" s="6" t="str">
        <f>IFERROR(__xludf.DUMMYFUNCTION("""COMPUTED_VALUE"""),"PRD-180826-000062")</f>
        <v>PRD-180826-000062</v>
      </c>
      <c r="T56" s="6" t="str">
        <f>IFERROR(__xludf.DUMMYFUNCTION("""COMPUTED_VALUE"""),"18/08/2026 14:39")</f>
        <v>18/08/2026 14:39</v>
      </c>
      <c r="U56" s="6" t="str">
        <f>IFERROR(__xludf.DUMMYFUNCTION("""COMPUTED_VALUE"""),"Kodriyah")</f>
        <v>Kodriyah</v>
      </c>
      <c r="V56" s="6" t="str">
        <f>IFERROR(__xludf.DUMMYFUNCTION("""COMPUTED_VALUE"""),"Napkin")</f>
        <v>Napkin</v>
      </c>
      <c r="W56" s="6">
        <f>IFERROR(__xludf.DUMMYFUNCTION("""COMPUTED_VALUE"""),50.0)</f>
        <v>50</v>
      </c>
      <c r="X56" s="6" t="str">
        <f>IFERROR(__xludf.DUMMYFUNCTION("""COMPUTED_VALUE"""),"LiFeng")</f>
        <v>LiFeng</v>
      </c>
      <c r="Y56" s="6" t="s">
        <v>225</v>
      </c>
    </row>
    <row r="57">
      <c r="S57" s="6" t="str">
        <f>IFERROR(__xludf.DUMMYFUNCTION("""COMPUTED_VALUE"""),"PRD-180826-000063")</f>
        <v>PRD-180826-000063</v>
      </c>
      <c r="T57" s="6" t="str">
        <f>IFERROR(__xludf.DUMMYFUNCTION("""COMPUTED_VALUE"""),"18/08/2026 14:39")</f>
        <v>18/08/2026 14:39</v>
      </c>
      <c r="U57" s="6" t="str">
        <f>IFERROR(__xludf.DUMMYFUNCTION("""COMPUTED_VALUE"""),"Kodriyah")</f>
        <v>Kodriyah</v>
      </c>
      <c r="V57" s="6" t="str">
        <f>IFERROR(__xludf.DUMMYFUNCTION("""COMPUTED_VALUE"""),"Napkin")</f>
        <v>Napkin</v>
      </c>
      <c r="W57" s="6">
        <f>IFERROR(__xludf.DUMMYFUNCTION("""COMPUTED_VALUE"""),10.0)</f>
        <v>10</v>
      </c>
      <c r="X57" s="6" t="str">
        <f>IFERROR(__xludf.DUMMYFUNCTION("""COMPUTED_VALUE"""),"Club")</f>
        <v>Club</v>
      </c>
      <c r="Y57" s="6" t="s">
        <v>225</v>
      </c>
    </row>
    <row r="58">
      <c r="S58" s="6" t="str">
        <f>IFERROR(__xludf.DUMMYFUNCTION("""COMPUTED_VALUE"""),"PRD-180826-000064")</f>
        <v>PRD-180826-000064</v>
      </c>
      <c r="T58" s="6" t="str">
        <f>IFERROR(__xludf.DUMMYFUNCTION("""COMPUTED_VALUE"""),"18/08/2026 18:40")</f>
        <v>18/08/2026 18:40</v>
      </c>
      <c r="U58" s="6" t="str">
        <f>IFERROR(__xludf.DUMMYFUNCTION("""COMPUTED_VALUE"""),"Mukhlis")</f>
        <v>Mukhlis</v>
      </c>
      <c r="V58" s="6" t="str">
        <f>IFERROR(__xludf.DUMMYFUNCTION("""COMPUTED_VALUE"""),"Napkin")</f>
        <v>Napkin</v>
      </c>
      <c r="W58" s="6">
        <f>IFERROR(__xludf.DUMMYFUNCTION("""COMPUTED_VALUE"""),196.0)</f>
        <v>196</v>
      </c>
      <c r="X58" s="6" t="str">
        <f>IFERROR(__xludf.DUMMYFUNCTION("""COMPUTED_VALUE"""),"Cinnamon")</f>
        <v>Cinnamon</v>
      </c>
      <c r="Y58" s="6" t="s">
        <v>225</v>
      </c>
    </row>
    <row r="59">
      <c r="S59" s="6" t="str">
        <f>IFERROR(__xludf.DUMMYFUNCTION("""COMPUTED_VALUE"""),"PRD-180826-000065")</f>
        <v>PRD-180826-000065</v>
      </c>
      <c r="T59" s="6" t="str">
        <f>IFERROR(__xludf.DUMMYFUNCTION("""COMPUTED_VALUE"""),"18/08/2026 18:41")</f>
        <v>18/08/2026 18:41</v>
      </c>
      <c r="U59" s="6" t="str">
        <f>IFERROR(__xludf.DUMMYFUNCTION("""COMPUTED_VALUE"""),"Mukhlis")</f>
        <v>Mukhlis</v>
      </c>
      <c r="V59" s="6" t="str">
        <f>IFERROR(__xludf.DUMMYFUNCTION("""COMPUTED_VALUE"""),"Napkin")</f>
        <v>Napkin</v>
      </c>
      <c r="W59" s="6">
        <f>IFERROR(__xludf.DUMMYFUNCTION("""COMPUTED_VALUE"""),1.0)</f>
        <v>1</v>
      </c>
      <c r="X59" s="6" t="str">
        <f>IFERROR(__xludf.DUMMYFUNCTION("""COMPUTED_VALUE"""),"Banquet")</f>
        <v>Banquet</v>
      </c>
      <c r="Y59" s="6" t="s">
        <v>225</v>
      </c>
    </row>
    <row r="60">
      <c r="S60" s="6" t="str">
        <f>IFERROR(__xludf.DUMMYFUNCTION("""COMPUTED_VALUE"""),"PRD-180826-000066")</f>
        <v>PRD-180826-000066</v>
      </c>
      <c r="T60" s="6" t="str">
        <f>IFERROR(__xludf.DUMMYFUNCTION("""COMPUTED_VALUE"""),"18/08/2026 18:42")</f>
        <v>18/08/2026 18:42</v>
      </c>
      <c r="U60" s="6" t="str">
        <f>IFERROR(__xludf.DUMMYFUNCTION("""COMPUTED_VALUE"""),"Mukhlis")</f>
        <v>Mukhlis</v>
      </c>
      <c r="V60" s="6" t="str">
        <f>IFERROR(__xludf.DUMMYFUNCTION("""COMPUTED_VALUE"""),"Napkin")</f>
        <v>Napkin</v>
      </c>
      <c r="W60" s="6">
        <f>IFERROR(__xludf.DUMMYFUNCTION("""COMPUTED_VALUE"""),2.0)</f>
        <v>2</v>
      </c>
      <c r="X60" s="6" t="str">
        <f>IFERROR(__xludf.DUMMYFUNCTION("""COMPUTED_VALUE"""),"IRD")</f>
        <v>IRD</v>
      </c>
      <c r="Y60" s="6" t="s">
        <v>225</v>
      </c>
    </row>
    <row r="61">
      <c r="S61" s="6" t="str">
        <f>IFERROR(__xludf.DUMMYFUNCTION("""COMPUTED_VALUE"""),"PRD-180826-000067")</f>
        <v>PRD-180826-000067</v>
      </c>
      <c r="T61" s="6" t="str">
        <f>IFERROR(__xludf.DUMMYFUNCTION("""COMPUTED_VALUE"""),"18/08/2026 18:43")</f>
        <v>18/08/2026 18:43</v>
      </c>
      <c r="U61" s="6" t="str">
        <f>IFERROR(__xludf.DUMMYFUNCTION("""COMPUTED_VALUE"""),"Mukhlis")</f>
        <v>Mukhlis</v>
      </c>
      <c r="V61" s="6" t="str">
        <f>IFERROR(__xludf.DUMMYFUNCTION("""COMPUTED_VALUE"""),"Napkin")</f>
        <v>Napkin</v>
      </c>
      <c r="W61" s="6">
        <f>IFERROR(__xludf.DUMMYFUNCTION("""COMPUTED_VALUE"""),38.0)</f>
        <v>38</v>
      </c>
      <c r="X61" s="6" t="str">
        <f>IFERROR(__xludf.DUMMYFUNCTION("""COMPUTED_VALUE"""),"Cinnamon")</f>
        <v>Cinnamon</v>
      </c>
      <c r="Y61" s="6" t="s">
        <v>225</v>
      </c>
    </row>
    <row r="62">
      <c r="S62" s="6" t="str">
        <f>IFERROR(__xludf.DUMMYFUNCTION("""COMPUTED_VALUE"""),"PRD-180826-000068")</f>
        <v>PRD-180826-000068</v>
      </c>
      <c r="T62" s="6" t="str">
        <f>IFERROR(__xludf.DUMMYFUNCTION("""COMPUTED_VALUE"""),"18/08/2026 18:44")</f>
        <v>18/08/2026 18:44</v>
      </c>
      <c r="U62" s="6" t="str">
        <f>IFERROR(__xludf.DUMMYFUNCTION("""COMPUTED_VALUE"""),"Mukhlis")</f>
        <v>Mukhlis</v>
      </c>
      <c r="V62" s="6" t="str">
        <f>IFERROR(__xludf.DUMMYFUNCTION("""COMPUTED_VALUE"""),"Napkin")</f>
        <v>Napkin</v>
      </c>
      <c r="W62" s="6">
        <f>IFERROR(__xludf.DUMMYFUNCTION("""COMPUTED_VALUE"""),3.0)</f>
        <v>3</v>
      </c>
      <c r="X62" s="6" t="str">
        <f>IFERROR(__xludf.DUMMYFUNCTION("""COMPUTED_VALUE"""),"LiFeng")</f>
        <v>LiFeng</v>
      </c>
      <c r="Y62" s="6" t="s">
        <v>225</v>
      </c>
    </row>
    <row r="63">
      <c r="S63" s="6" t="str">
        <f>IFERROR(__xludf.DUMMYFUNCTION("""COMPUTED_VALUE"""),"PRD-190826-000025")</f>
        <v>PRD-190826-000025</v>
      </c>
      <c r="T63" s="6" t="str">
        <f>IFERROR(__xludf.DUMMYFUNCTION("""COMPUTED_VALUE"""),"19/08/2026 13:24")</f>
        <v>19/08/2026 13:24</v>
      </c>
      <c r="U63" s="6" t="str">
        <f>IFERROR(__xludf.DUMMYFUNCTION("""COMPUTED_VALUE"""),"Kodriyah")</f>
        <v>Kodriyah</v>
      </c>
      <c r="V63" s="6" t="str">
        <f>IFERROR(__xludf.DUMMYFUNCTION("""COMPUTED_VALUE"""),"Trousers")</f>
        <v>Trousers</v>
      </c>
      <c r="W63" s="6">
        <f>IFERROR(__xludf.DUMMYFUNCTION("""COMPUTED_VALUE"""),43.0)</f>
        <v>43</v>
      </c>
      <c r="X63" s="6" t="str">
        <f>IFERROR(__xludf.DUMMYFUNCTION("""COMPUTED_VALUE"""),"Housekeeping")</f>
        <v>Housekeeping</v>
      </c>
      <c r="Y63" s="6" t="s">
        <v>720</v>
      </c>
    </row>
    <row r="64">
      <c r="S64" s="6" t="str">
        <f>IFERROR(__xludf.DUMMYFUNCTION("""COMPUTED_VALUE"""),"PRD-190826-000026")</f>
        <v>PRD-190826-000026</v>
      </c>
      <c r="T64" s="6" t="str">
        <f>IFERROR(__xludf.DUMMYFUNCTION("""COMPUTED_VALUE"""),"19/08/2026 13:24")</f>
        <v>19/08/2026 13:24</v>
      </c>
      <c r="U64" s="6" t="str">
        <f>IFERROR(__xludf.DUMMYFUNCTION("""COMPUTED_VALUE"""),"Kodriyah")</f>
        <v>Kodriyah</v>
      </c>
      <c r="V64" s="6" t="str">
        <f>IFERROR(__xludf.DUMMYFUNCTION("""COMPUTED_VALUE"""),"Shirt")</f>
        <v>Shirt</v>
      </c>
      <c r="W64" s="6">
        <f>IFERROR(__xludf.DUMMYFUNCTION("""COMPUTED_VALUE"""),1.0)</f>
        <v>1</v>
      </c>
      <c r="X64" s="6" t="str">
        <f>IFERROR(__xludf.DUMMYFUNCTION("""COMPUTED_VALUE"""),"Housekeeping")</f>
        <v>Housekeeping</v>
      </c>
      <c r="Y64" s="6" t="s">
        <v>720</v>
      </c>
    </row>
    <row r="65">
      <c r="S65" s="6" t="str">
        <f>IFERROR(__xludf.DUMMYFUNCTION("""COMPUTED_VALUE"""),"PRD-190826-000027")</f>
        <v>PRD-190826-000027</v>
      </c>
      <c r="T65" s="6" t="str">
        <f>IFERROR(__xludf.DUMMYFUNCTION("""COMPUTED_VALUE"""),"19/08/2026 13:24")</f>
        <v>19/08/2026 13:24</v>
      </c>
      <c r="U65" s="6" t="str">
        <f>IFERROR(__xludf.DUMMYFUNCTION("""COMPUTED_VALUE"""),"Kodriyah")</f>
        <v>Kodriyah</v>
      </c>
      <c r="V65" s="6" t="str">
        <f>IFERROR(__xludf.DUMMYFUNCTION("""COMPUTED_VALUE"""),"Blouse")</f>
        <v>Blouse</v>
      </c>
      <c r="W65" s="6">
        <f>IFERROR(__xludf.DUMMYFUNCTION("""COMPUTED_VALUE"""),42.0)</f>
        <v>42</v>
      </c>
      <c r="X65" s="6" t="str">
        <f>IFERROR(__xludf.DUMMYFUNCTION("""COMPUTED_VALUE"""),"Housekeeping")</f>
        <v>Housekeeping</v>
      </c>
      <c r="Y65" s="6" t="s">
        <v>720</v>
      </c>
    </row>
    <row r="66">
      <c r="S66" s="6" t="str">
        <f>IFERROR(__xludf.DUMMYFUNCTION("""COMPUTED_VALUE"""),"PRD-190826-000028")</f>
        <v>PRD-190826-000028</v>
      </c>
      <c r="T66" s="6" t="str">
        <f>IFERROR(__xludf.DUMMYFUNCTION("""COMPUTED_VALUE"""),"19/08/2026 13:25")</f>
        <v>19/08/2026 13:25</v>
      </c>
      <c r="U66" s="6" t="str">
        <f>IFERROR(__xludf.DUMMYFUNCTION("""COMPUTED_VALUE"""),"Kodriyah")</f>
        <v>Kodriyah</v>
      </c>
      <c r="V66" s="6" t="str">
        <f>IFERROR(__xludf.DUMMYFUNCTION("""COMPUTED_VALUE"""),"Trousers")</f>
        <v>Trousers</v>
      </c>
      <c r="W66" s="6">
        <f>IFERROR(__xludf.DUMMYFUNCTION("""COMPUTED_VALUE"""),43.0)</f>
        <v>43</v>
      </c>
      <c r="X66" s="6" t="str">
        <f>IFERROR(__xludf.DUMMYFUNCTION("""COMPUTED_VALUE"""),"Housekeeping")</f>
        <v>Housekeeping</v>
      </c>
      <c r="Y66" s="6" t="s">
        <v>720</v>
      </c>
    </row>
    <row r="67">
      <c r="S67" s="6" t="str">
        <f>IFERROR(__xludf.DUMMYFUNCTION("""COMPUTED_VALUE"""),"PRD-190826-000029")</f>
        <v>PRD-190826-000029</v>
      </c>
      <c r="T67" s="6" t="str">
        <f>IFERROR(__xludf.DUMMYFUNCTION("""COMPUTED_VALUE"""),"19/08/2026 13:25")</f>
        <v>19/08/2026 13:25</v>
      </c>
      <c r="U67" s="6" t="str">
        <f>IFERROR(__xludf.DUMMYFUNCTION("""COMPUTED_VALUE"""),"Kodriyah")</f>
        <v>Kodriyah</v>
      </c>
      <c r="V67" s="6" t="str">
        <f>IFERROR(__xludf.DUMMYFUNCTION("""COMPUTED_VALUE"""),"Shirt")</f>
        <v>Shirt</v>
      </c>
      <c r="W67" s="6">
        <f>IFERROR(__xludf.DUMMYFUNCTION("""COMPUTED_VALUE"""),1.0)</f>
        <v>1</v>
      </c>
      <c r="X67" s="6" t="str">
        <f>IFERROR(__xludf.DUMMYFUNCTION("""COMPUTED_VALUE"""),"Housekeeping")</f>
        <v>Housekeeping</v>
      </c>
      <c r="Y67" s="6" t="s">
        <v>720</v>
      </c>
    </row>
    <row r="68">
      <c r="S68" s="6" t="str">
        <f>IFERROR(__xludf.DUMMYFUNCTION("""COMPUTED_VALUE"""),"PRD-190826-000030")</f>
        <v>PRD-190826-000030</v>
      </c>
      <c r="T68" s="6" t="str">
        <f>IFERROR(__xludf.DUMMYFUNCTION("""COMPUTED_VALUE"""),"19/08/2026 13:25")</f>
        <v>19/08/2026 13:25</v>
      </c>
      <c r="U68" s="6" t="str">
        <f>IFERROR(__xludf.DUMMYFUNCTION("""COMPUTED_VALUE"""),"Kodriyah")</f>
        <v>Kodriyah</v>
      </c>
      <c r="V68" s="6" t="str">
        <f>IFERROR(__xludf.DUMMYFUNCTION("""COMPUTED_VALUE"""),"Blouse")</f>
        <v>Blouse</v>
      </c>
      <c r="W68" s="6">
        <f>IFERROR(__xludf.DUMMYFUNCTION("""COMPUTED_VALUE"""),42.0)</f>
        <v>42</v>
      </c>
      <c r="X68" s="6" t="str">
        <f>IFERROR(__xludf.DUMMYFUNCTION("""COMPUTED_VALUE"""),"Housekeeping")</f>
        <v>Housekeeping</v>
      </c>
      <c r="Y68" s="6" t="s">
        <v>720</v>
      </c>
    </row>
    <row r="69">
      <c r="S69" s="6" t="str">
        <f>IFERROR(__xludf.DUMMYFUNCTION("""COMPUTED_VALUE"""),"PRD-190826-000031")</f>
        <v>PRD-190826-000031</v>
      </c>
      <c r="T69" s="6" t="str">
        <f>IFERROR(__xludf.DUMMYFUNCTION("""COMPUTED_VALUE"""),"19/08/2026 13:26")</f>
        <v>19/08/2026 13:26</v>
      </c>
      <c r="U69" s="6" t="str">
        <f>IFERROR(__xludf.DUMMYFUNCTION("""COMPUTED_VALUE"""),"Kodriyah")</f>
        <v>Kodriyah</v>
      </c>
      <c r="V69" s="6" t="str">
        <f>IFERROR(__xludf.DUMMYFUNCTION("""COMPUTED_VALUE"""),"Trousers")</f>
        <v>Trousers</v>
      </c>
      <c r="W69" s="6">
        <f>IFERROR(__xludf.DUMMYFUNCTION("""COMPUTED_VALUE"""),43.0)</f>
        <v>43</v>
      </c>
      <c r="X69" s="6" t="str">
        <f>IFERROR(__xludf.DUMMYFUNCTION("""COMPUTED_VALUE"""),"Housekeeping")</f>
        <v>Housekeeping</v>
      </c>
      <c r="Y69" s="6" t="s">
        <v>720</v>
      </c>
    </row>
    <row r="70">
      <c r="S70" s="6" t="str">
        <f>IFERROR(__xludf.DUMMYFUNCTION("""COMPUTED_VALUE"""),"PRD-190826-000032")</f>
        <v>PRD-190826-000032</v>
      </c>
      <c r="T70" s="6" t="str">
        <f>IFERROR(__xludf.DUMMYFUNCTION("""COMPUTED_VALUE"""),"19/08/2026 13:26")</f>
        <v>19/08/2026 13:26</v>
      </c>
      <c r="U70" s="6" t="str">
        <f>IFERROR(__xludf.DUMMYFUNCTION("""COMPUTED_VALUE"""),"Kodriyah")</f>
        <v>Kodriyah</v>
      </c>
      <c r="V70" s="6" t="str">
        <f>IFERROR(__xludf.DUMMYFUNCTION("""COMPUTED_VALUE"""),"Shirt")</f>
        <v>Shirt</v>
      </c>
      <c r="W70" s="6">
        <f>IFERROR(__xludf.DUMMYFUNCTION("""COMPUTED_VALUE"""),1.0)</f>
        <v>1</v>
      </c>
      <c r="X70" s="6" t="str">
        <f>IFERROR(__xludf.DUMMYFUNCTION("""COMPUTED_VALUE"""),"Housekeeping")</f>
        <v>Housekeeping</v>
      </c>
      <c r="Y70" s="6" t="s">
        <v>720</v>
      </c>
    </row>
    <row r="71">
      <c r="S71" s="6" t="str">
        <f>IFERROR(__xludf.DUMMYFUNCTION("""COMPUTED_VALUE"""),"PRD-190826-000033")</f>
        <v>PRD-190826-000033</v>
      </c>
      <c r="T71" s="6" t="str">
        <f>IFERROR(__xludf.DUMMYFUNCTION("""COMPUTED_VALUE"""),"19/08/2026 13:26")</f>
        <v>19/08/2026 13:26</v>
      </c>
      <c r="U71" s="6" t="str">
        <f>IFERROR(__xludf.DUMMYFUNCTION("""COMPUTED_VALUE"""),"Kodriyah")</f>
        <v>Kodriyah</v>
      </c>
      <c r="V71" s="6" t="str">
        <f>IFERROR(__xludf.DUMMYFUNCTION("""COMPUTED_VALUE"""),"Blouse")</f>
        <v>Blouse</v>
      </c>
      <c r="W71" s="6">
        <f>IFERROR(__xludf.DUMMYFUNCTION("""COMPUTED_VALUE"""),42.0)</f>
        <v>42</v>
      </c>
      <c r="X71" s="6" t="str">
        <f>IFERROR(__xludf.DUMMYFUNCTION("""COMPUTED_VALUE"""),"Housekeeping")</f>
        <v>Housekeeping</v>
      </c>
      <c r="Y71" s="6" t="s">
        <v>720</v>
      </c>
    </row>
    <row r="72">
      <c r="S72" s="6" t="str">
        <f>IFERROR(__xludf.DUMMYFUNCTION("""COMPUTED_VALUE"""),"PRD-190826-000034")</f>
        <v>PRD-190826-000034</v>
      </c>
      <c r="T72" s="6" t="str">
        <f>IFERROR(__xludf.DUMMYFUNCTION("""COMPUTED_VALUE"""),"19/08/2026 13:29")</f>
        <v>19/08/2026 13:29</v>
      </c>
      <c r="U72" s="6" t="str">
        <f>IFERROR(__xludf.DUMMYFUNCTION("""COMPUTED_VALUE"""),"Kodriyah")</f>
        <v>Kodriyah</v>
      </c>
      <c r="V72" s="6" t="str">
        <f>IFERROR(__xludf.DUMMYFUNCTION("""COMPUTED_VALUE"""),"Trousers")</f>
        <v>Trousers</v>
      </c>
      <c r="W72" s="6">
        <f>IFERROR(__xludf.DUMMYFUNCTION("""COMPUTED_VALUE"""),2.0)</f>
        <v>2</v>
      </c>
      <c r="X72" s="6" t="str">
        <f>IFERROR(__xludf.DUMMYFUNCTION("""COMPUTED_VALUE"""),"Front Office")</f>
        <v>Front Office</v>
      </c>
      <c r="Y72" s="6" t="s">
        <v>720</v>
      </c>
    </row>
    <row r="73">
      <c r="S73" s="6" t="str">
        <f>IFERROR(__xludf.DUMMYFUNCTION("""COMPUTED_VALUE"""),"PRD-190826-000035")</f>
        <v>PRD-190826-000035</v>
      </c>
      <c r="T73" s="6" t="str">
        <f>IFERROR(__xludf.DUMMYFUNCTION("""COMPUTED_VALUE"""),"19/08/2026 13:29")</f>
        <v>19/08/2026 13:29</v>
      </c>
      <c r="U73" s="6" t="str">
        <f>IFERROR(__xludf.DUMMYFUNCTION("""COMPUTED_VALUE"""),"Kodriyah")</f>
        <v>Kodriyah</v>
      </c>
      <c r="V73" s="6" t="str">
        <f>IFERROR(__xludf.DUMMYFUNCTION("""COMPUTED_VALUE"""),"Skirt")</f>
        <v>Skirt</v>
      </c>
      <c r="W73" s="6">
        <f>IFERROR(__xludf.DUMMYFUNCTION("""COMPUTED_VALUE"""),1.0)</f>
        <v>1</v>
      </c>
      <c r="X73" s="6" t="str">
        <f>IFERROR(__xludf.DUMMYFUNCTION("""COMPUTED_VALUE"""),"Front Office")</f>
        <v>Front Office</v>
      </c>
      <c r="Y73" s="6" t="s">
        <v>720</v>
      </c>
    </row>
    <row r="74">
      <c r="S74" s="6" t="str">
        <f>IFERROR(__xludf.DUMMYFUNCTION("""COMPUTED_VALUE"""),"PRD-190826-000036")</f>
        <v>PRD-190826-000036</v>
      </c>
      <c r="T74" s="6" t="str">
        <f>IFERROR(__xludf.DUMMYFUNCTION("""COMPUTED_VALUE"""),"19/08/2026 13:29")</f>
        <v>19/08/2026 13:29</v>
      </c>
      <c r="U74" s="6" t="str">
        <f>IFERROR(__xludf.DUMMYFUNCTION("""COMPUTED_VALUE"""),"Kodriyah")</f>
        <v>Kodriyah</v>
      </c>
      <c r="V74" s="6" t="str">
        <f>IFERROR(__xludf.DUMMYFUNCTION("""COMPUTED_VALUE"""),"Shirt")</f>
        <v>Shirt</v>
      </c>
      <c r="W74" s="6">
        <f>IFERROR(__xludf.DUMMYFUNCTION("""COMPUTED_VALUE"""),2.0)</f>
        <v>2</v>
      </c>
      <c r="X74" s="6" t="str">
        <f>IFERROR(__xludf.DUMMYFUNCTION("""COMPUTED_VALUE"""),"Front Office")</f>
        <v>Front Office</v>
      </c>
      <c r="Y74" s="6" t="s">
        <v>720</v>
      </c>
    </row>
    <row r="75">
      <c r="S75" s="6" t="str">
        <f>IFERROR(__xludf.DUMMYFUNCTION("""COMPUTED_VALUE"""),"PRD-190826-000037")</f>
        <v>PRD-190826-000037</v>
      </c>
      <c r="T75" s="6" t="str">
        <f>IFERROR(__xludf.DUMMYFUNCTION("""COMPUTED_VALUE"""),"19/08/2026 13:29")</f>
        <v>19/08/2026 13:29</v>
      </c>
      <c r="U75" s="6" t="str">
        <f>IFERROR(__xludf.DUMMYFUNCTION("""COMPUTED_VALUE"""),"Kodriyah")</f>
        <v>Kodriyah</v>
      </c>
      <c r="V75" s="6" t="str">
        <f>IFERROR(__xludf.DUMMYFUNCTION("""COMPUTED_VALUE"""),"Blouse")</f>
        <v>Blouse</v>
      </c>
      <c r="W75" s="6">
        <f>IFERROR(__xludf.DUMMYFUNCTION("""COMPUTED_VALUE"""),2.0)</f>
        <v>2</v>
      </c>
      <c r="X75" s="6" t="str">
        <f>IFERROR(__xludf.DUMMYFUNCTION("""COMPUTED_VALUE"""),"Front Office")</f>
        <v>Front Office</v>
      </c>
      <c r="Y75" s="6" t="s">
        <v>720</v>
      </c>
    </row>
    <row r="76">
      <c r="S76" s="6" t="str">
        <f>IFERROR(__xludf.DUMMYFUNCTION("""COMPUTED_VALUE"""),"PRD-190826-000038")</f>
        <v>PRD-190826-000038</v>
      </c>
      <c r="T76" s="6" t="str">
        <f>IFERROR(__xludf.DUMMYFUNCTION("""COMPUTED_VALUE"""),"19/08/2026 13:31")</f>
        <v>19/08/2026 13:31</v>
      </c>
      <c r="U76" s="6" t="str">
        <f>IFERROR(__xludf.DUMMYFUNCTION("""COMPUTED_VALUE"""),"Kodriyah")</f>
        <v>Kodriyah</v>
      </c>
      <c r="V76" s="6" t="str">
        <f>IFERROR(__xludf.DUMMYFUNCTION("""COMPUTED_VALUE"""),"Trousers")</f>
        <v>Trousers</v>
      </c>
      <c r="W76" s="6">
        <f>IFERROR(__xludf.DUMMYFUNCTION("""COMPUTED_VALUE"""),2.0)</f>
        <v>2</v>
      </c>
      <c r="X76" s="6" t="str">
        <f>IFERROR(__xludf.DUMMYFUNCTION("""COMPUTED_VALUE"""),"Front Office")</f>
        <v>Front Office</v>
      </c>
      <c r="Y76" s="6" t="s">
        <v>720</v>
      </c>
    </row>
    <row r="77">
      <c r="S77" s="6" t="str">
        <f>IFERROR(__xludf.DUMMYFUNCTION("""COMPUTED_VALUE"""),"PRD-190826-000039")</f>
        <v>PRD-190826-000039</v>
      </c>
      <c r="T77" s="6" t="str">
        <f>IFERROR(__xludf.DUMMYFUNCTION("""COMPUTED_VALUE"""),"19/08/2026 13:31")</f>
        <v>19/08/2026 13:31</v>
      </c>
      <c r="U77" s="6" t="str">
        <f>IFERROR(__xludf.DUMMYFUNCTION("""COMPUTED_VALUE"""),"Kodriyah")</f>
        <v>Kodriyah</v>
      </c>
      <c r="V77" s="6" t="str">
        <f>IFERROR(__xludf.DUMMYFUNCTION("""COMPUTED_VALUE"""),"Skirt")</f>
        <v>Skirt</v>
      </c>
      <c r="W77" s="6">
        <f>IFERROR(__xludf.DUMMYFUNCTION("""COMPUTED_VALUE"""),1.0)</f>
        <v>1</v>
      </c>
      <c r="X77" s="6" t="str">
        <f>IFERROR(__xludf.DUMMYFUNCTION("""COMPUTED_VALUE"""),"Front Office")</f>
        <v>Front Office</v>
      </c>
      <c r="Y77" s="6" t="s">
        <v>720</v>
      </c>
    </row>
    <row r="78">
      <c r="S78" s="6" t="str">
        <f>IFERROR(__xludf.DUMMYFUNCTION("""COMPUTED_VALUE"""),"PRD-190826-000040")</f>
        <v>PRD-190826-000040</v>
      </c>
      <c r="T78" s="6" t="str">
        <f>IFERROR(__xludf.DUMMYFUNCTION("""COMPUTED_VALUE"""),"19/08/2026 13:31")</f>
        <v>19/08/2026 13:31</v>
      </c>
      <c r="U78" s="6" t="str">
        <f>IFERROR(__xludf.DUMMYFUNCTION("""COMPUTED_VALUE"""),"Kodriyah")</f>
        <v>Kodriyah</v>
      </c>
      <c r="V78" s="6" t="str">
        <f>IFERROR(__xludf.DUMMYFUNCTION("""COMPUTED_VALUE"""),"Shirt")</f>
        <v>Shirt</v>
      </c>
      <c r="W78" s="6">
        <f>IFERROR(__xludf.DUMMYFUNCTION("""COMPUTED_VALUE"""),2.0)</f>
        <v>2</v>
      </c>
      <c r="X78" s="6" t="str">
        <f>IFERROR(__xludf.DUMMYFUNCTION("""COMPUTED_VALUE"""),"Front Office")</f>
        <v>Front Office</v>
      </c>
      <c r="Y78" s="6" t="s">
        <v>720</v>
      </c>
    </row>
    <row r="79">
      <c r="S79" s="6" t="str">
        <f>IFERROR(__xludf.DUMMYFUNCTION("""COMPUTED_VALUE"""),"PRD-190826-000041")</f>
        <v>PRD-190826-000041</v>
      </c>
      <c r="T79" s="6" t="str">
        <f>IFERROR(__xludf.DUMMYFUNCTION("""COMPUTED_VALUE"""),"19/08/2026 13:31")</f>
        <v>19/08/2026 13:31</v>
      </c>
      <c r="U79" s="6" t="str">
        <f>IFERROR(__xludf.DUMMYFUNCTION("""COMPUTED_VALUE"""),"Kodriyah")</f>
        <v>Kodriyah</v>
      </c>
      <c r="V79" s="6" t="str">
        <f>IFERROR(__xludf.DUMMYFUNCTION("""COMPUTED_VALUE"""),"Blouse")</f>
        <v>Blouse</v>
      </c>
      <c r="W79" s="6">
        <f>IFERROR(__xludf.DUMMYFUNCTION("""COMPUTED_VALUE"""),2.0)</f>
        <v>2</v>
      </c>
      <c r="X79" s="6" t="str">
        <f>IFERROR(__xludf.DUMMYFUNCTION("""COMPUTED_VALUE"""),"Front Office")</f>
        <v>Front Office</v>
      </c>
      <c r="Y79" s="6" t="s">
        <v>720</v>
      </c>
    </row>
    <row r="80">
      <c r="S80" s="6" t="str">
        <f>IFERROR(__xludf.DUMMYFUNCTION("""COMPUTED_VALUE"""),"PRD-190826-000042")</f>
        <v>PRD-190826-000042</v>
      </c>
      <c r="T80" s="6" t="str">
        <f>IFERROR(__xludf.DUMMYFUNCTION("""COMPUTED_VALUE"""),"19/08/2026 13:32")</f>
        <v>19/08/2026 13:32</v>
      </c>
      <c r="U80" s="6" t="str">
        <f>IFERROR(__xludf.DUMMYFUNCTION("""COMPUTED_VALUE"""),"Kodriyah")</f>
        <v>Kodriyah</v>
      </c>
      <c r="V80" s="6" t="str">
        <f>IFERROR(__xludf.DUMMYFUNCTION("""COMPUTED_VALUE"""),"Trousers")</f>
        <v>Trousers</v>
      </c>
      <c r="W80" s="6">
        <f>IFERROR(__xludf.DUMMYFUNCTION("""COMPUTED_VALUE"""),2.0)</f>
        <v>2</v>
      </c>
      <c r="X80" s="6" t="str">
        <f>IFERROR(__xludf.DUMMYFUNCTION("""COMPUTED_VALUE"""),"Front Office")</f>
        <v>Front Office</v>
      </c>
      <c r="Y80" s="6" t="s">
        <v>720</v>
      </c>
    </row>
    <row r="81">
      <c r="S81" s="6" t="str">
        <f>IFERROR(__xludf.DUMMYFUNCTION("""COMPUTED_VALUE"""),"PRD-190826-000043")</f>
        <v>PRD-190826-000043</v>
      </c>
      <c r="T81" s="6" t="str">
        <f>IFERROR(__xludf.DUMMYFUNCTION("""COMPUTED_VALUE"""),"19/08/2026 13:32")</f>
        <v>19/08/2026 13:32</v>
      </c>
      <c r="U81" s="6" t="str">
        <f>IFERROR(__xludf.DUMMYFUNCTION("""COMPUTED_VALUE"""),"Kodriyah")</f>
        <v>Kodriyah</v>
      </c>
      <c r="V81" s="6" t="str">
        <f>IFERROR(__xludf.DUMMYFUNCTION("""COMPUTED_VALUE"""),"Skirt")</f>
        <v>Skirt</v>
      </c>
      <c r="W81" s="6">
        <f>IFERROR(__xludf.DUMMYFUNCTION("""COMPUTED_VALUE"""),1.0)</f>
        <v>1</v>
      </c>
      <c r="X81" s="6" t="str">
        <f>IFERROR(__xludf.DUMMYFUNCTION("""COMPUTED_VALUE"""),"Front Office")</f>
        <v>Front Office</v>
      </c>
      <c r="Y81" s="6" t="s">
        <v>720</v>
      </c>
    </row>
    <row r="82">
      <c r="S82" s="6" t="str">
        <f>IFERROR(__xludf.DUMMYFUNCTION("""COMPUTED_VALUE"""),"PRD-190826-000044")</f>
        <v>PRD-190826-000044</v>
      </c>
      <c r="T82" s="6" t="str">
        <f>IFERROR(__xludf.DUMMYFUNCTION("""COMPUTED_VALUE"""),"19/08/2026 13:32")</f>
        <v>19/08/2026 13:32</v>
      </c>
      <c r="U82" s="6" t="str">
        <f>IFERROR(__xludf.DUMMYFUNCTION("""COMPUTED_VALUE"""),"Kodriyah")</f>
        <v>Kodriyah</v>
      </c>
      <c r="V82" s="6" t="str">
        <f>IFERROR(__xludf.DUMMYFUNCTION("""COMPUTED_VALUE"""),"Shirt")</f>
        <v>Shirt</v>
      </c>
      <c r="W82" s="6">
        <f>IFERROR(__xludf.DUMMYFUNCTION("""COMPUTED_VALUE"""),2.0)</f>
        <v>2</v>
      </c>
      <c r="X82" s="6" t="str">
        <f>IFERROR(__xludf.DUMMYFUNCTION("""COMPUTED_VALUE"""),"Front Office")</f>
        <v>Front Office</v>
      </c>
      <c r="Y82" s="6" t="s">
        <v>720</v>
      </c>
    </row>
    <row r="83">
      <c r="S83" s="6" t="str">
        <f>IFERROR(__xludf.DUMMYFUNCTION("""COMPUTED_VALUE"""),"PRD-190826-000045")</f>
        <v>PRD-190826-000045</v>
      </c>
      <c r="T83" s="6" t="str">
        <f>IFERROR(__xludf.DUMMYFUNCTION("""COMPUTED_VALUE"""),"19/08/2026 13:32")</f>
        <v>19/08/2026 13:32</v>
      </c>
      <c r="U83" s="6" t="str">
        <f>IFERROR(__xludf.DUMMYFUNCTION("""COMPUTED_VALUE"""),"Kodriyah")</f>
        <v>Kodriyah</v>
      </c>
      <c r="V83" s="6" t="str">
        <f>IFERROR(__xludf.DUMMYFUNCTION("""COMPUTED_VALUE"""),"Blouse")</f>
        <v>Blouse</v>
      </c>
      <c r="W83" s="6">
        <f>IFERROR(__xludf.DUMMYFUNCTION("""COMPUTED_VALUE"""),2.0)</f>
        <v>2</v>
      </c>
      <c r="X83" s="6" t="str">
        <f>IFERROR(__xludf.DUMMYFUNCTION("""COMPUTED_VALUE"""),"Front Office")</f>
        <v>Front Office</v>
      </c>
      <c r="Y83" s="6" t="s">
        <v>720</v>
      </c>
    </row>
    <row r="84">
      <c r="S84" s="6" t="str">
        <f>IFERROR(__xludf.DUMMYFUNCTION("""COMPUTED_VALUE"""),"PRD-190826-000046")</f>
        <v>PRD-190826-000046</v>
      </c>
      <c r="T84" s="6" t="str">
        <f>IFERROR(__xludf.DUMMYFUNCTION("""COMPUTED_VALUE"""),"19/08/2026 13:32")</f>
        <v>19/08/2026 13:32</v>
      </c>
      <c r="U84" s="6" t="str">
        <f>IFERROR(__xludf.DUMMYFUNCTION("""COMPUTED_VALUE"""),"Kodriyah")</f>
        <v>Kodriyah</v>
      </c>
      <c r="V84" s="6" t="str">
        <f>IFERROR(__xludf.DUMMYFUNCTION("""COMPUTED_VALUE"""),"Trousers")</f>
        <v>Trousers</v>
      </c>
      <c r="W84" s="6">
        <f>IFERROR(__xludf.DUMMYFUNCTION("""COMPUTED_VALUE"""),2.0)</f>
        <v>2</v>
      </c>
      <c r="X84" s="6" t="str">
        <f>IFERROR(__xludf.DUMMYFUNCTION("""COMPUTED_VALUE"""),"Front Office")</f>
        <v>Front Office</v>
      </c>
      <c r="Y84" s="6" t="s">
        <v>720</v>
      </c>
    </row>
    <row r="85">
      <c r="S85" s="6" t="str">
        <f>IFERROR(__xludf.DUMMYFUNCTION("""COMPUTED_VALUE"""),"PRD-190826-000047")</f>
        <v>PRD-190826-000047</v>
      </c>
      <c r="T85" s="6" t="str">
        <f>IFERROR(__xludf.DUMMYFUNCTION("""COMPUTED_VALUE"""),"19/08/2026 13:32")</f>
        <v>19/08/2026 13:32</v>
      </c>
      <c r="U85" s="6" t="str">
        <f>IFERROR(__xludf.DUMMYFUNCTION("""COMPUTED_VALUE"""),"Kodriyah")</f>
        <v>Kodriyah</v>
      </c>
      <c r="V85" s="6" t="str">
        <f>IFERROR(__xludf.DUMMYFUNCTION("""COMPUTED_VALUE"""),"Skirt")</f>
        <v>Skirt</v>
      </c>
      <c r="W85" s="6">
        <f>IFERROR(__xludf.DUMMYFUNCTION("""COMPUTED_VALUE"""),1.0)</f>
        <v>1</v>
      </c>
      <c r="X85" s="6" t="str">
        <f>IFERROR(__xludf.DUMMYFUNCTION("""COMPUTED_VALUE"""),"Front Office")</f>
        <v>Front Office</v>
      </c>
      <c r="Y85" s="6" t="s">
        <v>720</v>
      </c>
    </row>
    <row r="86">
      <c r="S86" s="6" t="str">
        <f>IFERROR(__xludf.DUMMYFUNCTION("""COMPUTED_VALUE"""),"PRD-190826-000048")</f>
        <v>PRD-190826-000048</v>
      </c>
      <c r="T86" s="6" t="str">
        <f>IFERROR(__xludf.DUMMYFUNCTION("""COMPUTED_VALUE"""),"19/08/2026 13:32")</f>
        <v>19/08/2026 13:32</v>
      </c>
      <c r="U86" s="6" t="str">
        <f>IFERROR(__xludf.DUMMYFUNCTION("""COMPUTED_VALUE"""),"Kodriyah")</f>
        <v>Kodriyah</v>
      </c>
      <c r="V86" s="6" t="str">
        <f>IFERROR(__xludf.DUMMYFUNCTION("""COMPUTED_VALUE"""),"Shirt")</f>
        <v>Shirt</v>
      </c>
      <c r="W86" s="6">
        <f>IFERROR(__xludf.DUMMYFUNCTION("""COMPUTED_VALUE"""),2.0)</f>
        <v>2</v>
      </c>
      <c r="X86" s="6" t="str">
        <f>IFERROR(__xludf.DUMMYFUNCTION("""COMPUTED_VALUE"""),"Front Office")</f>
        <v>Front Office</v>
      </c>
      <c r="Y86" s="6" t="s">
        <v>720</v>
      </c>
    </row>
    <row r="87">
      <c r="S87" s="6" t="str">
        <f>IFERROR(__xludf.DUMMYFUNCTION("""COMPUTED_VALUE"""),"PRD-190826-000049")</f>
        <v>PRD-190826-000049</v>
      </c>
      <c r="T87" s="6" t="str">
        <f>IFERROR(__xludf.DUMMYFUNCTION("""COMPUTED_VALUE"""),"19/08/2026 13:32")</f>
        <v>19/08/2026 13:32</v>
      </c>
      <c r="U87" s="6" t="str">
        <f>IFERROR(__xludf.DUMMYFUNCTION("""COMPUTED_VALUE"""),"Kodriyah")</f>
        <v>Kodriyah</v>
      </c>
      <c r="V87" s="6" t="str">
        <f>IFERROR(__xludf.DUMMYFUNCTION("""COMPUTED_VALUE"""),"Blouse")</f>
        <v>Blouse</v>
      </c>
      <c r="W87" s="6">
        <f>IFERROR(__xludf.DUMMYFUNCTION("""COMPUTED_VALUE"""),2.0)</f>
        <v>2</v>
      </c>
      <c r="X87" s="6" t="str">
        <f>IFERROR(__xludf.DUMMYFUNCTION("""COMPUTED_VALUE"""),"Front Office")</f>
        <v>Front Office</v>
      </c>
      <c r="Y87" s="6" t="s">
        <v>720</v>
      </c>
    </row>
    <row r="88">
      <c r="S88" s="6" t="str">
        <f>IFERROR(__xludf.DUMMYFUNCTION("""COMPUTED_VALUE"""),"PRD-190826-000050")</f>
        <v>PRD-190826-000050</v>
      </c>
      <c r="T88" s="6" t="str">
        <f>IFERROR(__xludf.DUMMYFUNCTION("""COMPUTED_VALUE"""),"19/08/2026 13:33")</f>
        <v>19/08/2026 13:33</v>
      </c>
      <c r="U88" s="6" t="str">
        <f>IFERROR(__xludf.DUMMYFUNCTION("""COMPUTED_VALUE"""),"Kodriyah")</f>
        <v>Kodriyah</v>
      </c>
      <c r="V88" s="6" t="str">
        <f>IFERROR(__xludf.DUMMYFUNCTION("""COMPUTED_VALUE"""),"Skirt")</f>
        <v>Skirt</v>
      </c>
      <c r="W88" s="6">
        <f>IFERROR(__xludf.DUMMYFUNCTION("""COMPUTED_VALUE"""),3.0)</f>
        <v>3</v>
      </c>
      <c r="X88" s="6" t="str">
        <f>IFERROR(__xludf.DUMMYFUNCTION("""COMPUTED_VALUE"""),"GRE")</f>
        <v>GRE</v>
      </c>
      <c r="Y88" s="6" t="s">
        <v>720</v>
      </c>
    </row>
    <row r="89">
      <c r="S89" s="6" t="str">
        <f>IFERROR(__xludf.DUMMYFUNCTION("""COMPUTED_VALUE"""),"PRD-190826-000051")</f>
        <v>PRD-190826-000051</v>
      </c>
      <c r="T89" s="6" t="str">
        <f>IFERROR(__xludf.DUMMYFUNCTION("""COMPUTED_VALUE"""),"19/08/2026 13:33")</f>
        <v>19/08/2026 13:33</v>
      </c>
      <c r="U89" s="6" t="str">
        <f>IFERROR(__xludf.DUMMYFUNCTION("""COMPUTED_VALUE"""),"Kodriyah")</f>
        <v>Kodriyah</v>
      </c>
      <c r="V89" s="6" t="str">
        <f>IFERROR(__xludf.DUMMYFUNCTION("""COMPUTED_VALUE"""),"Blouse")</f>
        <v>Blouse</v>
      </c>
      <c r="W89" s="6">
        <f>IFERROR(__xludf.DUMMYFUNCTION("""COMPUTED_VALUE"""),3.0)</f>
        <v>3</v>
      </c>
      <c r="X89" s="6" t="str">
        <f>IFERROR(__xludf.DUMMYFUNCTION("""COMPUTED_VALUE"""),"GRE")</f>
        <v>GRE</v>
      </c>
      <c r="Y89" s="6" t="s">
        <v>720</v>
      </c>
    </row>
    <row r="90">
      <c r="S90" s="6" t="str">
        <f>IFERROR(__xludf.DUMMYFUNCTION("""COMPUTED_VALUE"""),"PRD-190826-000052")</f>
        <v>PRD-190826-000052</v>
      </c>
      <c r="T90" s="6" t="str">
        <f>IFERROR(__xludf.DUMMYFUNCTION("""COMPUTED_VALUE"""),"19/08/2026 13:34")</f>
        <v>19/08/2026 13:34</v>
      </c>
      <c r="U90" s="6" t="str">
        <f>IFERROR(__xludf.DUMMYFUNCTION("""COMPUTED_VALUE"""),"Kodriyah")</f>
        <v>Kodriyah</v>
      </c>
      <c r="V90" s="6" t="str">
        <f>IFERROR(__xludf.DUMMYFUNCTION("""COMPUTED_VALUE"""),"Trousers")</f>
        <v>Trousers</v>
      </c>
      <c r="W90" s="6">
        <f>IFERROR(__xludf.DUMMYFUNCTION("""COMPUTED_VALUE"""),4.0)</f>
        <v>4</v>
      </c>
      <c r="X90" s="6" t="str">
        <f>IFERROR(__xludf.DUMMYFUNCTION("""COMPUTED_VALUE"""),"Concierge")</f>
        <v>Concierge</v>
      </c>
      <c r="Y90" s="6" t="s">
        <v>720</v>
      </c>
    </row>
    <row r="91">
      <c r="S91" s="6" t="str">
        <f>IFERROR(__xludf.DUMMYFUNCTION("""COMPUTED_VALUE"""),"PRD-190826-000053")</f>
        <v>PRD-190826-000053</v>
      </c>
      <c r="T91" s="6" t="str">
        <f>IFERROR(__xludf.DUMMYFUNCTION("""COMPUTED_VALUE"""),"19/08/2026 13:34")</f>
        <v>19/08/2026 13:34</v>
      </c>
      <c r="U91" s="6" t="str">
        <f>IFERROR(__xludf.DUMMYFUNCTION("""COMPUTED_VALUE"""),"Kodriyah")</f>
        <v>Kodriyah</v>
      </c>
      <c r="V91" s="6" t="str">
        <f>IFERROR(__xludf.DUMMYFUNCTION("""COMPUTED_VALUE"""),"Jacket")</f>
        <v>Jacket</v>
      </c>
      <c r="W91" s="6">
        <f>IFERROR(__xludf.DUMMYFUNCTION("""COMPUTED_VALUE"""),5.0)</f>
        <v>5</v>
      </c>
      <c r="X91" s="6" t="str">
        <f>IFERROR(__xludf.DUMMYFUNCTION("""COMPUTED_VALUE"""),"Concierge")</f>
        <v>Concierge</v>
      </c>
      <c r="Y91" s="6" t="s">
        <v>720</v>
      </c>
    </row>
    <row r="92">
      <c r="S92" s="6" t="str">
        <f>IFERROR(__xludf.DUMMYFUNCTION("""COMPUTED_VALUE"""),"PRD-190826-000054")</f>
        <v>PRD-190826-000054</v>
      </c>
      <c r="T92" s="6" t="str">
        <f>IFERROR(__xludf.DUMMYFUNCTION("""COMPUTED_VALUE"""),"19/08/2026 13:35")</f>
        <v>19/08/2026 13:35</v>
      </c>
      <c r="U92" s="6" t="str">
        <f>IFERROR(__xludf.DUMMYFUNCTION("""COMPUTED_VALUE"""),"Kodriyah")</f>
        <v>Kodriyah</v>
      </c>
      <c r="V92" s="6" t="str">
        <f>IFERROR(__xludf.DUMMYFUNCTION("""COMPUTED_VALUE"""),"Jacket")</f>
        <v>Jacket</v>
      </c>
      <c r="W92" s="6">
        <f>IFERROR(__xludf.DUMMYFUNCTION("""COMPUTED_VALUE"""),2.0)</f>
        <v>2</v>
      </c>
      <c r="X92" s="6" t="str">
        <f>IFERROR(__xludf.DUMMYFUNCTION("""COMPUTED_VALUE"""),"Club")</f>
        <v>Club</v>
      </c>
      <c r="Y92" s="6" t="s">
        <v>720</v>
      </c>
    </row>
    <row r="93">
      <c r="S93" s="6" t="str">
        <f>IFERROR(__xludf.DUMMYFUNCTION("""COMPUTED_VALUE"""),"PRD-190826-000055")</f>
        <v>PRD-190826-000055</v>
      </c>
      <c r="T93" s="6" t="str">
        <f>IFERROR(__xludf.DUMMYFUNCTION("""COMPUTED_VALUE"""),"19/08/2026 13:35")</f>
        <v>19/08/2026 13:35</v>
      </c>
      <c r="U93" s="6" t="str">
        <f>IFERROR(__xludf.DUMMYFUNCTION("""COMPUTED_VALUE"""),"Kodriyah")</f>
        <v>Kodriyah</v>
      </c>
      <c r="V93" s="6" t="str">
        <f>IFERROR(__xludf.DUMMYFUNCTION("""COMPUTED_VALUE"""),"Dress")</f>
        <v>Dress</v>
      </c>
      <c r="W93" s="6">
        <f>IFERROR(__xludf.DUMMYFUNCTION("""COMPUTED_VALUE"""),2.0)</f>
        <v>2</v>
      </c>
      <c r="X93" s="6" t="str">
        <f>IFERROR(__xludf.DUMMYFUNCTION("""COMPUTED_VALUE"""),"Club")</f>
        <v>Club</v>
      </c>
      <c r="Y93" s="6" t="s">
        <v>720</v>
      </c>
    </row>
    <row r="94">
      <c r="S94" s="6" t="str">
        <f>IFERROR(__xludf.DUMMYFUNCTION("""COMPUTED_VALUE"""),"PRD-190826-000056")</f>
        <v>PRD-190826-000056</v>
      </c>
      <c r="T94" s="6" t="str">
        <f>IFERROR(__xludf.DUMMYFUNCTION("""COMPUTED_VALUE"""),"19/08/2026 13:36")</f>
        <v>19/08/2026 13:36</v>
      </c>
      <c r="U94" s="6" t="str">
        <f>IFERROR(__xludf.DUMMYFUNCTION("""COMPUTED_VALUE"""),"Kodriyah")</f>
        <v>Kodriyah</v>
      </c>
      <c r="V94" s="6" t="str">
        <f>IFERROR(__xludf.DUMMYFUNCTION("""COMPUTED_VALUE"""),"Trousers")</f>
        <v>Trousers</v>
      </c>
      <c r="W94" s="6">
        <f>IFERROR(__xludf.DUMMYFUNCTION("""COMPUTED_VALUE"""),2.0)</f>
        <v>2</v>
      </c>
      <c r="X94" s="6" t="str">
        <f>IFERROR(__xludf.DUMMYFUNCTION("""COMPUTED_VALUE"""),"GSC")</f>
        <v>GSC</v>
      </c>
      <c r="Y94" s="6" t="s">
        <v>720</v>
      </c>
    </row>
    <row r="95">
      <c r="S95" s="6" t="str">
        <f>IFERROR(__xludf.DUMMYFUNCTION("""COMPUTED_VALUE"""),"PRD-190826-000057")</f>
        <v>PRD-190826-000057</v>
      </c>
      <c r="T95" s="6" t="str">
        <f>IFERROR(__xludf.DUMMYFUNCTION("""COMPUTED_VALUE"""),"19/08/2026 13:36")</f>
        <v>19/08/2026 13:36</v>
      </c>
      <c r="U95" s="6" t="str">
        <f>IFERROR(__xludf.DUMMYFUNCTION("""COMPUTED_VALUE"""),"Kodriyah")</f>
        <v>Kodriyah</v>
      </c>
      <c r="V95" s="6" t="str">
        <f>IFERROR(__xludf.DUMMYFUNCTION("""COMPUTED_VALUE"""),"Jacket")</f>
        <v>Jacket</v>
      </c>
      <c r="W95" s="6">
        <f>IFERROR(__xludf.DUMMYFUNCTION("""COMPUTED_VALUE"""),2.0)</f>
        <v>2</v>
      </c>
      <c r="X95" s="6" t="str">
        <f>IFERROR(__xludf.DUMMYFUNCTION("""COMPUTED_VALUE"""),"GSC")</f>
        <v>GSC</v>
      </c>
      <c r="Y95" s="6" t="s">
        <v>720</v>
      </c>
    </row>
    <row r="96">
      <c r="S96" s="6" t="str">
        <f>IFERROR(__xludf.DUMMYFUNCTION("""COMPUTED_VALUE"""),"PRD-190826-000058")</f>
        <v>PRD-190826-000058</v>
      </c>
      <c r="T96" s="6" t="str">
        <f>IFERROR(__xludf.DUMMYFUNCTION("""COMPUTED_VALUE"""),"19/08/2026 13:37")</f>
        <v>19/08/2026 13:37</v>
      </c>
      <c r="U96" s="6" t="str">
        <f>IFERROR(__xludf.DUMMYFUNCTION("""COMPUTED_VALUE"""),"Kodriyah")</f>
        <v>Kodriyah</v>
      </c>
      <c r="V96" s="6" t="str">
        <f>IFERROR(__xludf.DUMMYFUNCTION("""COMPUTED_VALUE"""),"Trousers")</f>
        <v>Trousers</v>
      </c>
      <c r="W96" s="6">
        <f>IFERROR(__xludf.DUMMYFUNCTION("""COMPUTED_VALUE"""),2.0)</f>
        <v>2</v>
      </c>
      <c r="X96" s="6" t="str">
        <f>IFERROR(__xludf.DUMMYFUNCTION("""COMPUTED_VALUE"""),"Security")</f>
        <v>Security</v>
      </c>
      <c r="Y96" s="6" t="s">
        <v>720</v>
      </c>
    </row>
    <row r="97">
      <c r="S97" s="6" t="str">
        <f>IFERROR(__xludf.DUMMYFUNCTION("""COMPUTED_VALUE"""),"PRD-190826-000059")</f>
        <v>PRD-190826-000059</v>
      </c>
      <c r="T97" s="6" t="str">
        <f>IFERROR(__xludf.DUMMYFUNCTION("""COMPUTED_VALUE"""),"19/08/2026 13:37")</f>
        <v>19/08/2026 13:37</v>
      </c>
      <c r="U97" s="6" t="str">
        <f>IFERROR(__xludf.DUMMYFUNCTION("""COMPUTED_VALUE"""),"Kodriyah")</f>
        <v>Kodriyah</v>
      </c>
      <c r="V97" s="6" t="str">
        <f>IFERROR(__xludf.DUMMYFUNCTION("""COMPUTED_VALUE"""),"Shirt")</f>
        <v>Shirt</v>
      </c>
      <c r="W97" s="6">
        <f>IFERROR(__xludf.DUMMYFUNCTION("""COMPUTED_VALUE"""),4.0)</f>
        <v>4</v>
      </c>
      <c r="X97" s="6" t="str">
        <f>IFERROR(__xludf.DUMMYFUNCTION("""COMPUTED_VALUE"""),"Security")</f>
        <v>Security</v>
      </c>
      <c r="Y97" s="6" t="s">
        <v>720</v>
      </c>
    </row>
    <row r="98">
      <c r="S98" s="6" t="str">
        <f>IFERROR(__xludf.DUMMYFUNCTION("""COMPUTED_VALUE"""),"PRD-190826-000060")</f>
        <v>PRD-190826-000060</v>
      </c>
      <c r="T98" s="6" t="str">
        <f>IFERROR(__xludf.DUMMYFUNCTION("""COMPUTED_VALUE"""),"19/08/2026 13:37")</f>
        <v>19/08/2026 13:37</v>
      </c>
      <c r="U98" s="6" t="str">
        <f>IFERROR(__xludf.DUMMYFUNCTION("""COMPUTED_VALUE"""),"Kodriyah")</f>
        <v>Kodriyah</v>
      </c>
      <c r="V98" s="6" t="str">
        <f>IFERROR(__xludf.DUMMYFUNCTION("""COMPUTED_VALUE"""),"Jacket")</f>
        <v>Jacket</v>
      </c>
      <c r="W98" s="6">
        <f>IFERROR(__xludf.DUMMYFUNCTION("""COMPUTED_VALUE"""),1.0)</f>
        <v>1</v>
      </c>
      <c r="X98" s="6" t="str">
        <f>IFERROR(__xludf.DUMMYFUNCTION("""COMPUTED_VALUE"""),"Security")</f>
        <v>Security</v>
      </c>
      <c r="Y98" s="6" t="s">
        <v>720</v>
      </c>
    </row>
    <row r="99">
      <c r="S99" s="6" t="str">
        <f>IFERROR(__xludf.DUMMYFUNCTION("""COMPUTED_VALUE"""),"PRD-190826-000061")</f>
        <v>PRD-190826-000061</v>
      </c>
      <c r="T99" s="6" t="str">
        <f>IFERROR(__xludf.DUMMYFUNCTION("""COMPUTED_VALUE"""),"19/08/2026 13:39")</f>
        <v>19/08/2026 13:39</v>
      </c>
      <c r="U99" s="6" t="str">
        <f>IFERROR(__xludf.DUMMYFUNCTION("""COMPUTED_VALUE"""),"Kodriyah")</f>
        <v>Kodriyah</v>
      </c>
      <c r="V99" s="6" t="str">
        <f>IFERROR(__xludf.DUMMYFUNCTION("""COMPUTED_VALUE"""),"Trousers")</f>
        <v>Trousers</v>
      </c>
      <c r="W99" s="6">
        <f>IFERROR(__xludf.DUMMYFUNCTION("""COMPUTED_VALUE"""),2.0)</f>
        <v>2</v>
      </c>
      <c r="X99" s="6" t="str">
        <f>IFERROR(__xludf.DUMMYFUNCTION("""COMPUTED_VALUE"""),"IRD")</f>
        <v>IRD</v>
      </c>
      <c r="Y99" s="6" t="s">
        <v>720</v>
      </c>
    </row>
    <row r="100">
      <c r="S100" s="6" t="str">
        <f>IFERROR(__xludf.DUMMYFUNCTION("""COMPUTED_VALUE"""),"PRD-190826-000062")</f>
        <v>PRD-190826-000062</v>
      </c>
      <c r="T100" s="6" t="str">
        <f>IFERROR(__xludf.DUMMYFUNCTION("""COMPUTED_VALUE"""),"19/08/2026 13:39")</f>
        <v>19/08/2026 13:39</v>
      </c>
      <c r="U100" s="6" t="str">
        <f>IFERROR(__xludf.DUMMYFUNCTION("""COMPUTED_VALUE"""),"Kodriyah")</f>
        <v>Kodriyah</v>
      </c>
      <c r="V100" s="6" t="str">
        <f>IFERROR(__xludf.DUMMYFUNCTION("""COMPUTED_VALUE"""),"Shirt")</f>
        <v>Shirt</v>
      </c>
      <c r="W100" s="6">
        <f>IFERROR(__xludf.DUMMYFUNCTION("""COMPUTED_VALUE"""),1.0)</f>
        <v>1</v>
      </c>
      <c r="X100" s="6" t="str">
        <f>IFERROR(__xludf.DUMMYFUNCTION("""COMPUTED_VALUE"""),"IRD")</f>
        <v>IRD</v>
      </c>
      <c r="Y100" s="6" t="s">
        <v>720</v>
      </c>
    </row>
    <row r="101">
      <c r="S101" s="6" t="str">
        <f>IFERROR(__xludf.DUMMYFUNCTION("""COMPUTED_VALUE"""),"PRD-190826-000063")</f>
        <v>PRD-190826-000063</v>
      </c>
      <c r="T101" s="6" t="str">
        <f>IFERROR(__xludf.DUMMYFUNCTION("""COMPUTED_VALUE"""),"19/08/2026 13:39")</f>
        <v>19/08/2026 13:39</v>
      </c>
      <c r="U101" s="6" t="str">
        <f>IFERROR(__xludf.DUMMYFUNCTION("""COMPUTED_VALUE"""),"Kodriyah")</f>
        <v>Kodriyah</v>
      </c>
      <c r="V101" s="6" t="str">
        <f>IFERROR(__xludf.DUMMYFUNCTION("""COMPUTED_VALUE"""),"Blouse")</f>
        <v>Blouse</v>
      </c>
      <c r="W101" s="6">
        <f>IFERROR(__xludf.DUMMYFUNCTION("""COMPUTED_VALUE"""),1.0)</f>
        <v>1</v>
      </c>
      <c r="X101" s="6" t="str">
        <f>IFERROR(__xludf.DUMMYFUNCTION("""COMPUTED_VALUE"""),"IRD")</f>
        <v>IRD</v>
      </c>
      <c r="Y101" s="6" t="s">
        <v>720</v>
      </c>
    </row>
    <row r="102">
      <c r="S102" s="6" t="str">
        <f>IFERROR(__xludf.DUMMYFUNCTION("""COMPUTED_VALUE"""),"PRD-190826-000064")</f>
        <v>PRD-190826-000064</v>
      </c>
      <c r="T102" s="6" t="str">
        <f>IFERROR(__xludf.DUMMYFUNCTION("""COMPUTED_VALUE"""),"19/08/2026 13:39")</f>
        <v>19/08/2026 13:39</v>
      </c>
      <c r="U102" s="6" t="str">
        <f>IFERROR(__xludf.DUMMYFUNCTION("""COMPUTED_VALUE"""),"Kodriyah")</f>
        <v>Kodriyah</v>
      </c>
      <c r="V102" s="6" t="str">
        <f>IFERROR(__xludf.DUMMYFUNCTION("""COMPUTED_VALUE"""),"Jacket")</f>
        <v>Jacket</v>
      </c>
      <c r="W102" s="6">
        <f>IFERROR(__xludf.DUMMYFUNCTION("""COMPUTED_VALUE"""),1.0)</f>
        <v>1</v>
      </c>
      <c r="X102" s="6" t="str">
        <f>IFERROR(__xludf.DUMMYFUNCTION("""COMPUTED_VALUE"""),"IRD")</f>
        <v>IRD</v>
      </c>
      <c r="Y102" s="6" t="s">
        <v>720</v>
      </c>
    </row>
    <row r="103">
      <c r="S103" s="6" t="str">
        <f>IFERROR(__xludf.DUMMYFUNCTION("""COMPUTED_VALUE"""),"PRD-190826-000065")</f>
        <v>PRD-190826-000065</v>
      </c>
      <c r="T103" s="6" t="str">
        <f>IFERROR(__xludf.DUMMYFUNCTION("""COMPUTED_VALUE"""),"19/08/2026 13:39")</f>
        <v>19/08/2026 13:39</v>
      </c>
      <c r="U103" s="6" t="str">
        <f>IFERROR(__xludf.DUMMYFUNCTION("""COMPUTED_VALUE"""),"Kodriyah")</f>
        <v>Kodriyah</v>
      </c>
      <c r="V103" s="6" t="str">
        <f>IFERROR(__xludf.DUMMYFUNCTION("""COMPUTED_VALUE"""),"Vest")</f>
        <v>Vest</v>
      </c>
      <c r="W103" s="6">
        <f>IFERROR(__xludf.DUMMYFUNCTION("""COMPUTED_VALUE"""),1.0)</f>
        <v>1</v>
      </c>
      <c r="X103" s="6" t="str">
        <f>IFERROR(__xludf.DUMMYFUNCTION("""COMPUTED_VALUE"""),"IRD")</f>
        <v>IRD</v>
      </c>
      <c r="Y103" s="6" t="s">
        <v>720</v>
      </c>
    </row>
    <row r="104">
      <c r="S104" s="6" t="str">
        <f>IFERROR(__xludf.DUMMYFUNCTION("""COMPUTED_VALUE"""),"PRD-190826-000066")</f>
        <v>PRD-190826-000066</v>
      </c>
      <c r="T104" s="6" t="str">
        <f>IFERROR(__xludf.DUMMYFUNCTION("""COMPUTED_VALUE"""),"19/08/2026 13:41")</f>
        <v>19/08/2026 13:41</v>
      </c>
      <c r="U104" s="6" t="str">
        <f>IFERROR(__xludf.DUMMYFUNCTION("""COMPUTED_VALUE"""),"Kodriyah")</f>
        <v>Kodriyah</v>
      </c>
      <c r="V104" s="6" t="str">
        <f>IFERROR(__xludf.DUMMYFUNCTION("""COMPUTED_VALUE"""),"Trousers")</f>
        <v>Trousers</v>
      </c>
      <c r="W104" s="6">
        <f>IFERROR(__xludf.DUMMYFUNCTION("""COMPUTED_VALUE"""),3.0)</f>
        <v>3</v>
      </c>
      <c r="X104" s="6" t="str">
        <f>IFERROR(__xludf.DUMMYFUNCTION("""COMPUTED_VALUE"""),"Cinnamon")</f>
        <v>Cinnamon</v>
      </c>
      <c r="Y104" s="6" t="s">
        <v>720</v>
      </c>
    </row>
    <row r="105">
      <c r="S105" s="6" t="str">
        <f>IFERROR(__xludf.DUMMYFUNCTION("""COMPUTED_VALUE"""),"PRD-190826-000067")</f>
        <v>PRD-190826-000067</v>
      </c>
      <c r="T105" s="6" t="str">
        <f>IFERROR(__xludf.DUMMYFUNCTION("""COMPUTED_VALUE"""),"19/08/2026 13:41")</f>
        <v>19/08/2026 13:41</v>
      </c>
      <c r="U105" s="6" t="str">
        <f>IFERROR(__xludf.DUMMYFUNCTION("""COMPUTED_VALUE"""),"Kodriyah")</f>
        <v>Kodriyah</v>
      </c>
      <c r="V105" s="6" t="str">
        <f>IFERROR(__xludf.DUMMYFUNCTION("""COMPUTED_VALUE"""),"Shirt")</f>
        <v>Shirt</v>
      </c>
      <c r="W105" s="6">
        <f>IFERROR(__xludf.DUMMYFUNCTION("""COMPUTED_VALUE"""),6.0)</f>
        <v>6</v>
      </c>
      <c r="X105" s="6" t="str">
        <f>IFERROR(__xludf.DUMMYFUNCTION("""COMPUTED_VALUE"""),"Cinnamon")</f>
        <v>Cinnamon</v>
      </c>
      <c r="Y105" s="6" t="s">
        <v>720</v>
      </c>
    </row>
    <row r="106">
      <c r="S106" s="6" t="str">
        <f>IFERROR(__xludf.DUMMYFUNCTION("""COMPUTED_VALUE"""),"PRD-190826-000068")</f>
        <v>PRD-190826-000068</v>
      </c>
      <c r="T106" s="6" t="str">
        <f>IFERROR(__xludf.DUMMYFUNCTION("""COMPUTED_VALUE"""),"19/08/2026 13:41")</f>
        <v>19/08/2026 13:41</v>
      </c>
      <c r="U106" s="6" t="str">
        <f>IFERROR(__xludf.DUMMYFUNCTION("""COMPUTED_VALUE"""),"Kodriyah")</f>
        <v>Kodriyah</v>
      </c>
      <c r="V106" s="6" t="str">
        <f>IFERROR(__xludf.DUMMYFUNCTION("""COMPUTED_VALUE"""),"Blouse")</f>
        <v>Blouse</v>
      </c>
      <c r="W106" s="6">
        <f>IFERROR(__xludf.DUMMYFUNCTION("""COMPUTED_VALUE"""),2.0)</f>
        <v>2</v>
      </c>
      <c r="X106" s="6" t="str">
        <f>IFERROR(__xludf.DUMMYFUNCTION("""COMPUTED_VALUE"""),"Cinnamon")</f>
        <v>Cinnamon</v>
      </c>
      <c r="Y106" s="6" t="s">
        <v>720</v>
      </c>
    </row>
    <row r="107">
      <c r="S107" s="6" t="str">
        <f>IFERROR(__xludf.DUMMYFUNCTION("""COMPUTED_VALUE"""),"PRD-190826-000069")</f>
        <v>PRD-190826-000069</v>
      </c>
      <c r="T107" s="6" t="str">
        <f>IFERROR(__xludf.DUMMYFUNCTION("""COMPUTED_VALUE"""),"19/08/2026 13:41")</f>
        <v>19/08/2026 13:41</v>
      </c>
      <c r="U107" s="6" t="str">
        <f>IFERROR(__xludf.DUMMYFUNCTION("""COMPUTED_VALUE"""),"Kodriyah")</f>
        <v>Kodriyah</v>
      </c>
      <c r="V107" s="6" t="str">
        <f>IFERROR(__xludf.DUMMYFUNCTION("""COMPUTED_VALUE"""),"Jacket")</f>
        <v>Jacket</v>
      </c>
      <c r="W107" s="6">
        <f>IFERROR(__xludf.DUMMYFUNCTION("""COMPUTED_VALUE"""),2.0)</f>
        <v>2</v>
      </c>
      <c r="X107" s="6" t="str">
        <f>IFERROR(__xludf.DUMMYFUNCTION("""COMPUTED_VALUE"""),"Cinnamon")</f>
        <v>Cinnamon</v>
      </c>
      <c r="Y107" s="6" t="s">
        <v>720</v>
      </c>
    </row>
    <row r="108">
      <c r="S108" s="6" t="str">
        <f>IFERROR(__xludf.DUMMYFUNCTION("""COMPUTED_VALUE"""),"PRD-190826-000070")</f>
        <v>PRD-190826-000070</v>
      </c>
      <c r="T108" s="6" t="str">
        <f>IFERROR(__xludf.DUMMYFUNCTION("""COMPUTED_VALUE"""),"19/08/2026 13:41")</f>
        <v>19/08/2026 13:41</v>
      </c>
      <c r="U108" s="6" t="str">
        <f>IFERROR(__xludf.DUMMYFUNCTION("""COMPUTED_VALUE"""),"Kodriyah")</f>
        <v>Kodriyah</v>
      </c>
      <c r="V108" s="6" t="str">
        <f>IFERROR(__xludf.DUMMYFUNCTION("""COMPUTED_VALUE"""),"Dress")</f>
        <v>Dress</v>
      </c>
      <c r="W108" s="6">
        <f>IFERROR(__xludf.DUMMYFUNCTION("""COMPUTED_VALUE"""),5.0)</f>
        <v>5</v>
      </c>
      <c r="X108" s="6" t="str">
        <f>IFERROR(__xludf.DUMMYFUNCTION("""COMPUTED_VALUE"""),"Cinnamon")</f>
        <v>Cinnamon</v>
      </c>
      <c r="Y108" s="6" t="s">
        <v>720</v>
      </c>
    </row>
    <row r="109">
      <c r="S109" s="6" t="str">
        <f>IFERROR(__xludf.DUMMYFUNCTION("""COMPUTED_VALUE"""),"PRD-190826-000071")</f>
        <v>PRD-190826-000071</v>
      </c>
      <c r="T109" s="6" t="str">
        <f>IFERROR(__xludf.DUMMYFUNCTION("""COMPUTED_VALUE"""),"19/08/2026 13:41")</f>
        <v>19/08/2026 13:41</v>
      </c>
      <c r="U109" s="6" t="str">
        <f>IFERROR(__xludf.DUMMYFUNCTION("""COMPUTED_VALUE"""),"Kodriyah")</f>
        <v>Kodriyah</v>
      </c>
      <c r="V109" s="6" t="str">
        <f>IFERROR(__xludf.DUMMYFUNCTION("""COMPUTED_VALUE"""),"Vest")</f>
        <v>Vest</v>
      </c>
      <c r="W109" s="6">
        <f>IFERROR(__xludf.DUMMYFUNCTION("""COMPUTED_VALUE"""),5.0)</f>
        <v>5</v>
      </c>
      <c r="X109" s="6" t="str">
        <f>IFERROR(__xludf.DUMMYFUNCTION("""COMPUTED_VALUE"""),"Cinnamon")</f>
        <v>Cinnamon</v>
      </c>
      <c r="Y109" s="6" t="s">
        <v>720</v>
      </c>
    </row>
    <row r="110">
      <c r="S110" s="6" t="str">
        <f>IFERROR(__xludf.DUMMYFUNCTION("""COMPUTED_VALUE"""),"PRD-190826-000072")</f>
        <v>PRD-190826-000072</v>
      </c>
      <c r="T110" s="6" t="str">
        <f>IFERROR(__xludf.DUMMYFUNCTION("""COMPUTED_VALUE"""),"19/08/2026 13:42")</f>
        <v>19/08/2026 13:42</v>
      </c>
      <c r="U110" s="6" t="str">
        <f>IFERROR(__xludf.DUMMYFUNCTION("""COMPUTED_VALUE"""),"Kodriyah")</f>
        <v>Kodriyah</v>
      </c>
      <c r="V110" s="6" t="str">
        <f>IFERROR(__xludf.DUMMYFUNCTION("""COMPUTED_VALUE"""),"Skirt")</f>
        <v>Skirt</v>
      </c>
      <c r="W110" s="6">
        <f>IFERROR(__xludf.DUMMYFUNCTION("""COMPUTED_VALUE"""),1.0)</f>
        <v>1</v>
      </c>
      <c r="X110" s="6" t="str">
        <f>IFERROR(__xludf.DUMMYFUNCTION("""COMPUTED_VALUE"""),"Cinnamon")</f>
        <v>Cinnamon</v>
      </c>
      <c r="Y110" s="6" t="s">
        <v>720</v>
      </c>
    </row>
    <row r="111">
      <c r="S111" s="6" t="str">
        <f>IFERROR(__xludf.DUMMYFUNCTION("""COMPUTED_VALUE"""),"PRD-190826-000073")</f>
        <v>PRD-190826-000073</v>
      </c>
      <c r="T111" s="6" t="str">
        <f>IFERROR(__xludf.DUMMYFUNCTION("""COMPUTED_VALUE"""),"19/08/2026 13:42")</f>
        <v>19/08/2026 13:42</v>
      </c>
      <c r="U111" s="6" t="str">
        <f>IFERROR(__xludf.DUMMYFUNCTION("""COMPUTED_VALUE"""),"Kodriyah")</f>
        <v>Kodriyah</v>
      </c>
      <c r="V111" s="6" t="str">
        <f>IFERROR(__xludf.DUMMYFUNCTION("""COMPUTED_VALUE"""),"Jacket")</f>
        <v>Jacket</v>
      </c>
      <c r="W111" s="6">
        <f>IFERROR(__xludf.DUMMYFUNCTION("""COMPUTED_VALUE"""),1.0)</f>
        <v>1</v>
      </c>
      <c r="X111" s="6" t="str">
        <f>IFERROR(__xludf.DUMMYFUNCTION("""COMPUTED_VALUE"""),"Cinnamon")</f>
        <v>Cinnamon</v>
      </c>
      <c r="Y111" s="6" t="s">
        <v>720</v>
      </c>
    </row>
    <row r="112">
      <c r="S112" s="6" t="str">
        <f>IFERROR(__xludf.DUMMYFUNCTION("""COMPUTED_VALUE"""),"PRD-190826-000074")</f>
        <v>PRD-190826-000074</v>
      </c>
      <c r="T112" s="6" t="str">
        <f>IFERROR(__xludf.DUMMYFUNCTION("""COMPUTED_VALUE"""),"19/08/2026 13:45")</f>
        <v>19/08/2026 13:45</v>
      </c>
      <c r="U112" s="6" t="str">
        <f>IFERROR(__xludf.DUMMYFUNCTION("""COMPUTED_VALUE"""),"Kodriyah")</f>
        <v>Kodriyah</v>
      </c>
      <c r="V112" s="6" t="str">
        <f>IFERROR(__xludf.DUMMYFUNCTION("""COMPUTED_VALUE"""),"Skirt")</f>
        <v>Skirt</v>
      </c>
      <c r="W112" s="6">
        <f>IFERROR(__xludf.DUMMYFUNCTION("""COMPUTED_VALUE"""),1.0)</f>
        <v>1</v>
      </c>
      <c r="X112" s="6" t="str">
        <f>IFERROR(__xludf.DUMMYFUNCTION("""COMPUTED_VALUE"""),"LiFeng")</f>
        <v>LiFeng</v>
      </c>
      <c r="Y112" s="6" t="s">
        <v>720</v>
      </c>
    </row>
    <row r="113">
      <c r="S113" s="6" t="str">
        <f>IFERROR(__xludf.DUMMYFUNCTION("""COMPUTED_VALUE"""),"PRD-190826-000075")</f>
        <v>PRD-190826-000075</v>
      </c>
      <c r="T113" s="6" t="str">
        <f>IFERROR(__xludf.DUMMYFUNCTION("""COMPUTED_VALUE"""),"19/08/2026 13:45")</f>
        <v>19/08/2026 13:45</v>
      </c>
      <c r="U113" s="6" t="str">
        <f>IFERROR(__xludf.DUMMYFUNCTION("""COMPUTED_VALUE"""),"Kodriyah")</f>
        <v>Kodriyah</v>
      </c>
      <c r="V113" s="6" t="str">
        <f>IFERROR(__xludf.DUMMYFUNCTION("""COMPUTED_VALUE"""),"Blouse")</f>
        <v>Blouse</v>
      </c>
      <c r="W113" s="6">
        <f>IFERROR(__xludf.DUMMYFUNCTION("""COMPUTED_VALUE"""),2.0)</f>
        <v>2</v>
      </c>
      <c r="X113" s="6" t="str">
        <f>IFERROR(__xludf.DUMMYFUNCTION("""COMPUTED_VALUE"""),"LiFeng")</f>
        <v>LiFeng</v>
      </c>
      <c r="Y113" s="6" t="s">
        <v>720</v>
      </c>
    </row>
    <row r="114">
      <c r="S114" s="6" t="str">
        <f>IFERROR(__xludf.DUMMYFUNCTION("""COMPUTED_VALUE"""),"PRD-190826-000076")</f>
        <v>PRD-190826-000076</v>
      </c>
      <c r="T114" s="6" t="str">
        <f>IFERROR(__xludf.DUMMYFUNCTION("""COMPUTED_VALUE"""),"19/08/2026 13:45")</f>
        <v>19/08/2026 13:45</v>
      </c>
      <c r="U114" s="6" t="str">
        <f>IFERROR(__xludf.DUMMYFUNCTION("""COMPUTED_VALUE"""),"Kodriyah")</f>
        <v>Kodriyah</v>
      </c>
      <c r="V114" s="6" t="str">
        <f>IFERROR(__xludf.DUMMYFUNCTION("""COMPUTED_VALUE"""),"Dress")</f>
        <v>Dress</v>
      </c>
      <c r="W114" s="6">
        <f>IFERROR(__xludf.DUMMYFUNCTION("""COMPUTED_VALUE"""),2.0)</f>
        <v>2</v>
      </c>
      <c r="X114" s="6" t="str">
        <f>IFERROR(__xludf.DUMMYFUNCTION("""COMPUTED_VALUE"""),"LiFeng")</f>
        <v>LiFeng</v>
      </c>
      <c r="Y114" s="6" t="s">
        <v>720</v>
      </c>
    </row>
    <row r="115">
      <c r="S115" s="6" t="str">
        <f>IFERROR(__xludf.DUMMYFUNCTION("""COMPUTED_VALUE"""),"PRD-190826-000077")</f>
        <v>PRD-190826-000077</v>
      </c>
      <c r="T115" s="6" t="str">
        <f>IFERROR(__xludf.DUMMYFUNCTION("""COMPUTED_VALUE"""),"19/08/2026 13:45")</f>
        <v>19/08/2026 13:45</v>
      </c>
      <c r="U115" s="6" t="str">
        <f>IFERROR(__xludf.DUMMYFUNCTION("""COMPUTED_VALUE"""),"Kodriyah")</f>
        <v>Kodriyah</v>
      </c>
      <c r="V115" s="6" t="str">
        <f>IFERROR(__xludf.DUMMYFUNCTION("""COMPUTED_VALUE"""),"Trousers")</f>
        <v>Trousers</v>
      </c>
      <c r="W115" s="6">
        <f>IFERROR(__xludf.DUMMYFUNCTION("""COMPUTED_VALUE"""),1.0)</f>
        <v>1</v>
      </c>
      <c r="X115" s="6" t="str">
        <f>IFERROR(__xludf.DUMMYFUNCTION("""COMPUTED_VALUE"""),"MO Bar")</f>
        <v>MO Bar</v>
      </c>
      <c r="Y115" s="6" t="s">
        <v>720</v>
      </c>
    </row>
    <row r="116">
      <c r="S116" s="6" t="str">
        <f>IFERROR(__xludf.DUMMYFUNCTION("""COMPUTED_VALUE"""),"PRD-190826-000078")</f>
        <v>PRD-190826-000078</v>
      </c>
      <c r="T116" s="6" t="str">
        <f>IFERROR(__xludf.DUMMYFUNCTION("""COMPUTED_VALUE"""),"19/08/2026 13:45")</f>
        <v>19/08/2026 13:45</v>
      </c>
      <c r="U116" s="6" t="str">
        <f>IFERROR(__xludf.DUMMYFUNCTION("""COMPUTED_VALUE"""),"Kodriyah")</f>
        <v>Kodriyah</v>
      </c>
      <c r="V116" s="6" t="str">
        <f>IFERROR(__xludf.DUMMYFUNCTION("""COMPUTED_VALUE"""),"Shirt")</f>
        <v>Shirt</v>
      </c>
      <c r="W116" s="6">
        <f>IFERROR(__xludf.DUMMYFUNCTION("""COMPUTED_VALUE"""),1.0)</f>
        <v>1</v>
      </c>
      <c r="X116" s="6" t="str">
        <f>IFERROR(__xludf.DUMMYFUNCTION("""COMPUTED_VALUE"""),"MO Bar")</f>
        <v>MO Bar</v>
      </c>
      <c r="Y116" s="6" t="s">
        <v>720</v>
      </c>
    </row>
    <row r="117">
      <c r="S117" s="6" t="str">
        <f>IFERROR(__xludf.DUMMYFUNCTION("""COMPUTED_VALUE"""),"PRD-190826-000086")</f>
        <v>PRD-190826-000086</v>
      </c>
      <c r="T117" s="6" t="str">
        <f>IFERROR(__xludf.DUMMYFUNCTION("""COMPUTED_VALUE"""),"19/08/2026 13:53")</f>
        <v>19/08/2026 13:53</v>
      </c>
      <c r="U117" s="6" t="str">
        <f>IFERROR(__xludf.DUMMYFUNCTION("""COMPUTED_VALUE"""),"Kodriyah")</f>
        <v>Kodriyah</v>
      </c>
      <c r="V117" s="6" t="str">
        <f>IFERROR(__xludf.DUMMYFUNCTION("""COMPUTED_VALUE"""),"Trousers")</f>
        <v>Trousers</v>
      </c>
      <c r="W117" s="6">
        <f>IFERROR(__xludf.DUMMYFUNCTION("""COMPUTED_VALUE"""),58.0)</f>
        <v>58</v>
      </c>
      <c r="X117" s="6" t="str">
        <f>IFERROR(__xludf.DUMMYFUNCTION("""COMPUTED_VALUE"""),"Kitchen / Culinary")</f>
        <v>Kitchen / Culinary</v>
      </c>
      <c r="Y117" s="6" t="s">
        <v>720</v>
      </c>
    </row>
    <row r="118">
      <c r="S118" s="6" t="str">
        <f>IFERROR(__xludf.DUMMYFUNCTION("""COMPUTED_VALUE"""),"PRD-190826-000087")</f>
        <v>PRD-190826-000087</v>
      </c>
      <c r="T118" s="6" t="str">
        <f>IFERROR(__xludf.DUMMYFUNCTION("""COMPUTED_VALUE"""),"19/08/2026 13:53")</f>
        <v>19/08/2026 13:53</v>
      </c>
      <c r="U118" s="6" t="str">
        <f>IFERROR(__xludf.DUMMYFUNCTION("""COMPUTED_VALUE"""),"Kodriyah")</f>
        <v>Kodriyah</v>
      </c>
      <c r="V118" s="6" t="str">
        <f>IFERROR(__xludf.DUMMYFUNCTION("""COMPUTED_VALUE"""),"Jacket")</f>
        <v>Jacket</v>
      </c>
      <c r="W118" s="6">
        <f>IFERROR(__xludf.DUMMYFUNCTION("""COMPUTED_VALUE"""),59.0)</f>
        <v>59</v>
      </c>
      <c r="X118" s="6" t="str">
        <f>IFERROR(__xludf.DUMMYFUNCTION("""COMPUTED_VALUE"""),"Kitchen / Culinary")</f>
        <v>Kitchen / Culinary</v>
      </c>
      <c r="Y118" s="6" t="s">
        <v>720</v>
      </c>
    </row>
    <row r="119">
      <c r="S119" s="6" t="str">
        <f>IFERROR(__xludf.DUMMYFUNCTION("""COMPUTED_VALUE"""),"PRD-190826-000088")</f>
        <v>PRD-190826-000088</v>
      </c>
      <c r="T119" s="6" t="str">
        <f>IFERROR(__xludf.DUMMYFUNCTION("""COMPUTED_VALUE"""),"19/08/2026 13:53")</f>
        <v>19/08/2026 13:53</v>
      </c>
      <c r="U119" s="6" t="str">
        <f>IFERROR(__xludf.DUMMYFUNCTION("""COMPUTED_VALUE"""),"Kodriyah")</f>
        <v>Kodriyah</v>
      </c>
      <c r="V119" s="6" t="str">
        <f>IFERROR(__xludf.DUMMYFUNCTION("""COMPUTED_VALUE"""),"Cloth")</f>
        <v>Cloth</v>
      </c>
      <c r="W119" s="6">
        <f>IFERROR(__xludf.DUMMYFUNCTION("""COMPUTED_VALUE"""),58.0)</f>
        <v>58</v>
      </c>
      <c r="X119" s="6" t="str">
        <f>IFERROR(__xludf.DUMMYFUNCTION("""COMPUTED_VALUE"""),"Kitchen / Culinary")</f>
        <v>Kitchen / Culinary</v>
      </c>
      <c r="Y119" s="6" t="s">
        <v>720</v>
      </c>
    </row>
    <row r="120">
      <c r="S120" s="6" t="str">
        <f>IFERROR(__xludf.DUMMYFUNCTION("""COMPUTED_VALUE"""),"PRD-190826-000089")</f>
        <v>PRD-190826-000089</v>
      </c>
      <c r="T120" s="6" t="str">
        <f>IFERROR(__xludf.DUMMYFUNCTION("""COMPUTED_VALUE"""),"19/08/2026 13:55")</f>
        <v>19/08/2026 13:55</v>
      </c>
      <c r="U120" s="6" t="str">
        <f>IFERROR(__xludf.DUMMYFUNCTION("""COMPUTED_VALUE"""),"Kodriyah")</f>
        <v>Kodriyah</v>
      </c>
      <c r="V120" s="6" t="str">
        <f>IFERROR(__xludf.DUMMYFUNCTION("""COMPUTED_VALUE"""),"Trousers")</f>
        <v>Trousers</v>
      </c>
      <c r="W120" s="6">
        <f>IFERROR(__xludf.DUMMYFUNCTION("""COMPUTED_VALUE"""),4.0)</f>
        <v>4</v>
      </c>
      <c r="X120" s="6" t="str">
        <f>IFERROR(__xludf.DUMMYFUNCTION("""COMPUTED_VALUE"""),"Steward")</f>
        <v>Steward</v>
      </c>
      <c r="Y120" s="6" t="s">
        <v>720</v>
      </c>
    </row>
    <row r="121">
      <c r="S121" s="6" t="str">
        <f>IFERROR(__xludf.DUMMYFUNCTION("""COMPUTED_VALUE"""),"PRD-190826-000090")</f>
        <v>PRD-190826-000090</v>
      </c>
      <c r="T121" s="6" t="str">
        <f>IFERROR(__xludf.DUMMYFUNCTION("""COMPUTED_VALUE"""),"19/08/2026 13:55")</f>
        <v>19/08/2026 13:55</v>
      </c>
      <c r="U121" s="6" t="str">
        <f>IFERROR(__xludf.DUMMYFUNCTION("""COMPUTED_VALUE"""),"Kodriyah")</f>
        <v>Kodriyah</v>
      </c>
      <c r="V121" s="6" t="str">
        <f>IFERROR(__xludf.DUMMYFUNCTION("""COMPUTED_VALUE"""),"Polo Shirt")</f>
        <v>Polo Shirt</v>
      </c>
      <c r="W121" s="6">
        <f>IFERROR(__xludf.DUMMYFUNCTION("""COMPUTED_VALUE"""),15.0)</f>
        <v>15</v>
      </c>
      <c r="X121" s="6" t="str">
        <f>IFERROR(__xludf.DUMMYFUNCTION("""COMPUTED_VALUE"""),"Steward")</f>
        <v>Steward</v>
      </c>
      <c r="Y121" s="6" t="s">
        <v>720</v>
      </c>
    </row>
    <row r="122">
      <c r="S122" s="6" t="str">
        <f>IFERROR(__xludf.DUMMYFUNCTION("""COMPUTED_VALUE"""),"PRD-190826-000091")</f>
        <v>PRD-190826-000091</v>
      </c>
      <c r="T122" s="6" t="str">
        <f>IFERROR(__xludf.DUMMYFUNCTION("""COMPUTED_VALUE"""),"19/08/2026 14:01")</f>
        <v>19/08/2026 14:01</v>
      </c>
      <c r="U122" s="6" t="str">
        <f>IFERROR(__xludf.DUMMYFUNCTION("""COMPUTED_VALUE"""),"Kodriyah")</f>
        <v>Kodriyah</v>
      </c>
      <c r="V122" s="6" t="str">
        <f>IFERROR(__xludf.DUMMYFUNCTION("""COMPUTED_VALUE"""),"Trousers")</f>
        <v>Trousers</v>
      </c>
      <c r="W122" s="6">
        <f>IFERROR(__xludf.DUMMYFUNCTION("""COMPUTED_VALUE"""),1.0)</f>
        <v>1</v>
      </c>
      <c r="X122" s="6" t="str">
        <f>IFERROR(__xludf.DUMMYFUNCTION("""COMPUTED_VALUE"""),"IT")</f>
        <v>IT</v>
      </c>
      <c r="Y122" s="6" t="s">
        <v>720</v>
      </c>
    </row>
    <row r="123">
      <c r="S123" s="6" t="str">
        <f>IFERROR(__xludf.DUMMYFUNCTION("""COMPUTED_VALUE"""),"PRD-190826-000092")</f>
        <v>PRD-190826-000092</v>
      </c>
      <c r="T123" s="6" t="str">
        <f>IFERROR(__xludf.DUMMYFUNCTION("""COMPUTED_VALUE"""),"19/08/2026 14:01")</f>
        <v>19/08/2026 14:01</v>
      </c>
      <c r="U123" s="6" t="str">
        <f>IFERROR(__xludf.DUMMYFUNCTION("""COMPUTED_VALUE"""),"Kodriyah")</f>
        <v>Kodriyah</v>
      </c>
      <c r="V123" s="6" t="str">
        <f>IFERROR(__xludf.DUMMYFUNCTION("""COMPUTED_VALUE"""),"Shirt")</f>
        <v>Shirt</v>
      </c>
      <c r="W123" s="6">
        <f>IFERROR(__xludf.DUMMYFUNCTION("""COMPUTED_VALUE"""),2.0)</f>
        <v>2</v>
      </c>
      <c r="X123" s="6" t="str">
        <f>IFERROR(__xludf.DUMMYFUNCTION("""COMPUTED_VALUE"""),"IT")</f>
        <v>IT</v>
      </c>
      <c r="Y123" s="6" t="s">
        <v>720</v>
      </c>
    </row>
    <row r="124">
      <c r="S124" s="6" t="str">
        <f>IFERROR(__xludf.DUMMYFUNCTION("""COMPUTED_VALUE"""),"PRD-190826-000093")</f>
        <v>PRD-190826-000093</v>
      </c>
      <c r="T124" s="6" t="str">
        <f>IFERROR(__xludf.DUMMYFUNCTION("""COMPUTED_VALUE"""),"19/08/2026 14:04")</f>
        <v>19/08/2026 14:04</v>
      </c>
      <c r="U124" s="6" t="str">
        <f>IFERROR(__xludf.DUMMYFUNCTION("""COMPUTED_VALUE"""),"Kodriyah")</f>
        <v>Kodriyah</v>
      </c>
      <c r="V124" s="6" t="str">
        <f>IFERROR(__xludf.DUMMYFUNCTION("""COMPUTED_VALUE"""),"Trousers")</f>
        <v>Trousers</v>
      </c>
      <c r="W124" s="6">
        <f>IFERROR(__xludf.DUMMYFUNCTION("""COMPUTED_VALUE"""),6.0)</f>
        <v>6</v>
      </c>
      <c r="X124" s="6" t="str">
        <f>IFERROR(__xludf.DUMMYFUNCTION("""COMPUTED_VALUE"""),"Finance")</f>
        <v>Finance</v>
      </c>
      <c r="Y124" s="6" t="s">
        <v>720</v>
      </c>
    </row>
    <row r="125">
      <c r="S125" s="6" t="str">
        <f>IFERROR(__xludf.DUMMYFUNCTION("""COMPUTED_VALUE"""),"PRD-190826-000094")</f>
        <v>PRD-190826-000094</v>
      </c>
      <c r="T125" s="6" t="str">
        <f>IFERROR(__xludf.DUMMYFUNCTION("""COMPUTED_VALUE"""),"19/08/2026 14:04")</f>
        <v>19/08/2026 14:04</v>
      </c>
      <c r="U125" s="6" t="str">
        <f>IFERROR(__xludf.DUMMYFUNCTION("""COMPUTED_VALUE"""),"Kodriyah")</f>
        <v>Kodriyah</v>
      </c>
      <c r="V125" s="6" t="str">
        <f>IFERROR(__xludf.DUMMYFUNCTION("""COMPUTED_VALUE"""),"Shirt")</f>
        <v>Shirt</v>
      </c>
      <c r="W125" s="6">
        <f>IFERROR(__xludf.DUMMYFUNCTION("""COMPUTED_VALUE"""),8.0)</f>
        <v>8</v>
      </c>
      <c r="X125" s="6" t="str">
        <f>IFERROR(__xludf.DUMMYFUNCTION("""COMPUTED_VALUE"""),"Finance")</f>
        <v>Finance</v>
      </c>
      <c r="Y125" s="6" t="s">
        <v>720</v>
      </c>
    </row>
    <row r="126">
      <c r="S126" s="6" t="str">
        <f>IFERROR(__xludf.DUMMYFUNCTION("""COMPUTED_VALUE"""),"PRD-190826-000095")</f>
        <v>PRD-190826-000095</v>
      </c>
      <c r="T126" s="6" t="str">
        <f>IFERROR(__xludf.DUMMYFUNCTION("""COMPUTED_VALUE"""),"19/08/2026 14:04")</f>
        <v>19/08/2026 14:04</v>
      </c>
      <c r="U126" s="6" t="str">
        <f>IFERROR(__xludf.DUMMYFUNCTION("""COMPUTED_VALUE"""),"Kodriyah")</f>
        <v>Kodriyah</v>
      </c>
      <c r="V126" s="6" t="str">
        <f>IFERROR(__xludf.DUMMYFUNCTION("""COMPUTED_VALUE"""),"Blouse")</f>
        <v>Blouse</v>
      </c>
      <c r="W126" s="6">
        <f>IFERROR(__xludf.DUMMYFUNCTION("""COMPUTED_VALUE"""),2.0)</f>
        <v>2</v>
      </c>
      <c r="X126" s="6" t="str">
        <f>IFERROR(__xludf.DUMMYFUNCTION("""COMPUTED_VALUE"""),"Finance")</f>
        <v>Finance</v>
      </c>
      <c r="Y126" s="6" t="s">
        <v>720</v>
      </c>
    </row>
    <row r="127">
      <c r="S127" s="6" t="str">
        <f>IFERROR(__xludf.DUMMYFUNCTION("""COMPUTED_VALUE"""),"PRD-190826-000096")</f>
        <v>PRD-190826-000096</v>
      </c>
      <c r="T127" s="6" t="str">
        <f>IFERROR(__xludf.DUMMYFUNCTION("""COMPUTED_VALUE"""),"19/08/2026 14:04")</f>
        <v>19/08/2026 14:04</v>
      </c>
      <c r="U127" s="6" t="str">
        <f>IFERROR(__xludf.DUMMYFUNCTION("""COMPUTED_VALUE"""),"Kodriyah")</f>
        <v>Kodriyah</v>
      </c>
      <c r="V127" s="6" t="str">
        <f>IFERROR(__xludf.DUMMYFUNCTION("""COMPUTED_VALUE"""),"Jacket")</f>
        <v>Jacket</v>
      </c>
      <c r="W127" s="6">
        <f>IFERROR(__xludf.DUMMYFUNCTION("""COMPUTED_VALUE"""),1.0)</f>
        <v>1</v>
      </c>
      <c r="X127" s="6" t="str">
        <f>IFERROR(__xludf.DUMMYFUNCTION("""COMPUTED_VALUE"""),"Finance")</f>
        <v>Finance</v>
      </c>
      <c r="Y127" s="6" t="s">
        <v>720</v>
      </c>
    </row>
    <row r="128">
      <c r="S128" s="6" t="str">
        <f>IFERROR(__xludf.DUMMYFUNCTION("""COMPUTED_VALUE"""),"PRD-190826-000097")</f>
        <v>PRD-190826-000097</v>
      </c>
      <c r="T128" s="6" t="str">
        <f>IFERROR(__xludf.DUMMYFUNCTION("""COMPUTED_VALUE"""),"19/08/2026 14:08")</f>
        <v>19/08/2026 14:08</v>
      </c>
      <c r="U128" s="6" t="str">
        <f>IFERROR(__xludf.DUMMYFUNCTION("""COMPUTED_VALUE"""),"Kodriyah")</f>
        <v>Kodriyah</v>
      </c>
      <c r="V128" s="6" t="str">
        <f>IFERROR(__xludf.DUMMYFUNCTION("""COMPUTED_VALUE"""),"Trousers")</f>
        <v>Trousers</v>
      </c>
      <c r="W128" s="6">
        <f>IFERROR(__xludf.DUMMYFUNCTION("""COMPUTED_VALUE"""),17.0)</f>
        <v>17</v>
      </c>
      <c r="X128" s="6" t="str">
        <f>IFERROR(__xludf.DUMMYFUNCTION("""COMPUTED_VALUE"""),"Engineering")</f>
        <v>Engineering</v>
      </c>
      <c r="Y128" s="6" t="s">
        <v>720</v>
      </c>
    </row>
    <row r="129">
      <c r="S129" s="6" t="str">
        <f>IFERROR(__xludf.DUMMYFUNCTION("""COMPUTED_VALUE"""),"PRD-190826-000098")</f>
        <v>PRD-190826-000098</v>
      </c>
      <c r="T129" s="6" t="str">
        <f>IFERROR(__xludf.DUMMYFUNCTION("""COMPUTED_VALUE"""),"19/08/2026 14:08")</f>
        <v>19/08/2026 14:08</v>
      </c>
      <c r="U129" s="6" t="str">
        <f>IFERROR(__xludf.DUMMYFUNCTION("""COMPUTED_VALUE"""),"Kodriyah")</f>
        <v>Kodriyah</v>
      </c>
      <c r="V129" s="6" t="str">
        <f>IFERROR(__xludf.DUMMYFUNCTION("""COMPUTED_VALUE"""),"Shirt")</f>
        <v>Shirt</v>
      </c>
      <c r="W129" s="6">
        <f>IFERROR(__xludf.DUMMYFUNCTION("""COMPUTED_VALUE"""),3.0)</f>
        <v>3</v>
      </c>
      <c r="X129" s="6" t="str">
        <f>IFERROR(__xludf.DUMMYFUNCTION("""COMPUTED_VALUE"""),"Engineering")</f>
        <v>Engineering</v>
      </c>
      <c r="Y129" s="6" t="s">
        <v>720</v>
      </c>
    </row>
    <row r="130">
      <c r="S130" s="6" t="str">
        <f>IFERROR(__xludf.DUMMYFUNCTION("""COMPUTED_VALUE"""),"PRD-190826-000099")</f>
        <v>PRD-190826-000099</v>
      </c>
      <c r="T130" s="6" t="str">
        <f>IFERROR(__xludf.DUMMYFUNCTION("""COMPUTED_VALUE"""),"19/08/2026 14:08")</f>
        <v>19/08/2026 14:08</v>
      </c>
      <c r="U130" s="6" t="str">
        <f>IFERROR(__xludf.DUMMYFUNCTION("""COMPUTED_VALUE"""),"Kodriyah")</f>
        <v>Kodriyah</v>
      </c>
      <c r="V130" s="6" t="str">
        <f>IFERROR(__xludf.DUMMYFUNCTION("""COMPUTED_VALUE"""),"Jacket")</f>
        <v>Jacket</v>
      </c>
      <c r="W130" s="6">
        <f>IFERROR(__xludf.DUMMYFUNCTION("""COMPUTED_VALUE"""),14.0)</f>
        <v>14</v>
      </c>
      <c r="X130" s="6" t="str">
        <f>IFERROR(__xludf.DUMMYFUNCTION("""COMPUTED_VALUE"""),"Engineering")</f>
        <v>Engineering</v>
      </c>
      <c r="Y130" s="6" t="s">
        <v>720</v>
      </c>
    </row>
    <row r="131">
      <c r="S131" s="6" t="str">
        <f>IFERROR(__xludf.DUMMYFUNCTION("""COMPUTED_VALUE"""),"PRD-190826-000100")</f>
        <v>PRD-190826-000100</v>
      </c>
      <c r="T131" s="6" t="str">
        <f>IFERROR(__xludf.DUMMYFUNCTION("""COMPUTED_VALUE"""),"19/08/2026 14:10")</f>
        <v>19/08/2026 14:10</v>
      </c>
      <c r="U131" s="6" t="str">
        <f>IFERROR(__xludf.DUMMYFUNCTION("""COMPUTED_VALUE"""),"Kodriyah")</f>
        <v>Kodriyah</v>
      </c>
      <c r="V131" s="6" t="str">
        <f>IFERROR(__xludf.DUMMYFUNCTION("""COMPUTED_VALUE"""),"Blouse")</f>
        <v>Blouse</v>
      </c>
      <c r="W131" s="6">
        <f>IFERROR(__xludf.DUMMYFUNCTION("""COMPUTED_VALUE"""),1.0)</f>
        <v>1</v>
      </c>
      <c r="X131" s="6" t="str">
        <f>IFERROR(__xludf.DUMMYFUNCTION("""COMPUTED_VALUE"""),"P&amp;C")</f>
        <v>P&amp;C</v>
      </c>
      <c r="Y131" s="6" t="s">
        <v>720</v>
      </c>
    </row>
    <row r="132">
      <c r="S132" s="6" t="str">
        <f>IFERROR(__xludf.DUMMYFUNCTION("""COMPUTED_VALUE"""),"PRD-190826-000101")</f>
        <v>PRD-190826-000101</v>
      </c>
      <c r="T132" s="6" t="str">
        <f>IFERROR(__xludf.DUMMYFUNCTION("""COMPUTED_VALUE"""),"19/08/2026 14:14")</f>
        <v>19/08/2026 14:14</v>
      </c>
      <c r="U132" s="6" t="str">
        <f>IFERROR(__xludf.DUMMYFUNCTION("""COMPUTED_VALUE"""),"Kodriyah")</f>
        <v>Kodriyah</v>
      </c>
      <c r="V132" s="6" t="str">
        <f>IFERROR(__xludf.DUMMYFUNCTION("""COMPUTED_VALUE"""),"Blouse")</f>
        <v>Blouse</v>
      </c>
      <c r="W132" s="6">
        <f>IFERROR(__xludf.DUMMYFUNCTION("""COMPUTED_VALUE"""),1.0)</f>
        <v>1</v>
      </c>
      <c r="X132" s="6" t="str">
        <f>IFERROR(__xludf.DUMMYFUNCTION("""COMPUTED_VALUE"""),"P&amp;C")</f>
        <v>P&amp;C</v>
      </c>
      <c r="Y132" s="6" t="s">
        <v>720</v>
      </c>
    </row>
    <row r="133">
      <c r="S133" s="6" t="str">
        <f>IFERROR(__xludf.DUMMYFUNCTION("""COMPUTED_VALUE"""),"PRD-190826-000102")</f>
        <v>PRD-190826-000102</v>
      </c>
      <c r="T133" s="6" t="str">
        <f>IFERROR(__xludf.DUMMYFUNCTION("""COMPUTED_VALUE"""),"19/08/2026 14:15")</f>
        <v>19/08/2026 14:15</v>
      </c>
      <c r="U133" s="6" t="str">
        <f>IFERROR(__xludf.DUMMYFUNCTION("""COMPUTED_VALUE"""),"Kodriyah")</f>
        <v>Kodriyah</v>
      </c>
      <c r="V133" s="6" t="str">
        <f>IFERROR(__xludf.DUMMYFUNCTION("""COMPUTED_VALUE"""),"Trousers")</f>
        <v>Trousers</v>
      </c>
      <c r="W133" s="6">
        <f>IFERROR(__xludf.DUMMYFUNCTION("""COMPUTED_VALUE"""),3.0)</f>
        <v>3</v>
      </c>
      <c r="X133" s="6" t="str">
        <f>IFERROR(__xludf.DUMMYFUNCTION("""COMPUTED_VALUE"""),"Sales &amp; Executive")</f>
        <v>Sales &amp; Executive</v>
      </c>
      <c r="Y133" s="6" t="s">
        <v>720</v>
      </c>
    </row>
    <row r="134">
      <c r="S134" s="6" t="str">
        <f>IFERROR(__xludf.DUMMYFUNCTION("""COMPUTED_VALUE"""),"PRD-190826-000103")</f>
        <v>PRD-190826-000103</v>
      </c>
      <c r="T134" s="6" t="str">
        <f>IFERROR(__xludf.DUMMYFUNCTION("""COMPUTED_VALUE"""),"19/08/2026 14:15")</f>
        <v>19/08/2026 14:15</v>
      </c>
      <c r="U134" s="6" t="str">
        <f>IFERROR(__xludf.DUMMYFUNCTION("""COMPUTED_VALUE"""),"Kodriyah")</f>
        <v>Kodriyah</v>
      </c>
      <c r="V134" s="6" t="str">
        <f>IFERROR(__xludf.DUMMYFUNCTION("""COMPUTED_VALUE"""),"Blouse")</f>
        <v>Blouse</v>
      </c>
      <c r="W134" s="6">
        <f>IFERROR(__xludf.DUMMYFUNCTION("""COMPUTED_VALUE"""),3.0)</f>
        <v>3</v>
      </c>
      <c r="X134" s="6" t="str">
        <f>IFERROR(__xludf.DUMMYFUNCTION("""COMPUTED_VALUE"""),"Sales &amp; Executive")</f>
        <v>Sales &amp; Executive</v>
      </c>
      <c r="Y134" s="6" t="s">
        <v>720</v>
      </c>
    </row>
    <row r="135">
      <c r="S135" s="6" t="str">
        <f>IFERROR(__xludf.DUMMYFUNCTION("""COMPUTED_VALUE"""),"PRD-190826-000104")</f>
        <v>PRD-190826-000104</v>
      </c>
      <c r="T135" s="6" t="str">
        <f>IFERROR(__xludf.DUMMYFUNCTION("""COMPUTED_VALUE"""),"19/08/2026 14:15")</f>
        <v>19/08/2026 14:15</v>
      </c>
      <c r="U135" s="6" t="str">
        <f>IFERROR(__xludf.DUMMYFUNCTION("""COMPUTED_VALUE"""),"Kodriyah")</f>
        <v>Kodriyah</v>
      </c>
      <c r="V135" s="6" t="str">
        <f>IFERROR(__xludf.DUMMYFUNCTION("""COMPUTED_VALUE"""),"Jacket")</f>
        <v>Jacket</v>
      </c>
      <c r="W135" s="6">
        <f>IFERROR(__xludf.DUMMYFUNCTION("""COMPUTED_VALUE"""),1.0)</f>
        <v>1</v>
      </c>
      <c r="X135" s="6" t="str">
        <f>IFERROR(__xludf.DUMMYFUNCTION("""COMPUTED_VALUE"""),"Sales &amp; Executive")</f>
        <v>Sales &amp; Executive</v>
      </c>
      <c r="Y135" s="6" t="s">
        <v>720</v>
      </c>
    </row>
    <row r="136">
      <c r="S136" s="6" t="str">
        <f>IFERROR(__xludf.DUMMYFUNCTION("""COMPUTED_VALUE"""),"PRD-190826-000105")</f>
        <v>PRD-190826-000105</v>
      </c>
      <c r="T136" s="6" t="str">
        <f>IFERROR(__xludf.DUMMYFUNCTION("""COMPUTED_VALUE"""),"19/08/2026 14:16")</f>
        <v>19/08/2026 14:16</v>
      </c>
      <c r="U136" s="6" t="str">
        <f>IFERROR(__xludf.DUMMYFUNCTION("""COMPUTED_VALUE"""),"Kodriyah")</f>
        <v>Kodriyah</v>
      </c>
      <c r="V136" s="6" t="str">
        <f>IFERROR(__xludf.DUMMYFUNCTION("""COMPUTED_VALUE"""),"Trousers")</f>
        <v>Trousers</v>
      </c>
      <c r="W136" s="6">
        <f>IFERROR(__xludf.DUMMYFUNCTION("""COMPUTED_VALUE"""),1.0)</f>
        <v>1</v>
      </c>
      <c r="X136" s="6" t="str">
        <f>IFERROR(__xludf.DUMMYFUNCTION("""COMPUTED_VALUE"""),"Wellness")</f>
        <v>Wellness</v>
      </c>
      <c r="Y136" s="6" t="s">
        <v>720</v>
      </c>
    </row>
    <row r="137">
      <c r="S137" s="6" t="str">
        <f>IFERROR(__xludf.DUMMYFUNCTION("""COMPUTED_VALUE"""),"PRD-190826-000106")</f>
        <v>PRD-190826-000106</v>
      </c>
      <c r="T137" s="6" t="str">
        <f>IFERROR(__xludf.DUMMYFUNCTION("""COMPUTED_VALUE"""),"19/08/2026 14:16")</f>
        <v>19/08/2026 14:16</v>
      </c>
      <c r="U137" s="6" t="str">
        <f>IFERROR(__xludf.DUMMYFUNCTION("""COMPUTED_VALUE"""),"Kodriyah")</f>
        <v>Kodriyah</v>
      </c>
      <c r="V137" s="6" t="str">
        <f>IFERROR(__xludf.DUMMYFUNCTION("""COMPUTED_VALUE"""),"Shirt")</f>
        <v>Shirt</v>
      </c>
      <c r="W137" s="6">
        <f>IFERROR(__xludf.DUMMYFUNCTION("""COMPUTED_VALUE"""),1.0)</f>
        <v>1</v>
      </c>
      <c r="X137" s="6" t="str">
        <f>IFERROR(__xludf.DUMMYFUNCTION("""COMPUTED_VALUE"""),"Wellness")</f>
        <v>Wellness</v>
      </c>
      <c r="Y137" s="6" t="s">
        <v>720</v>
      </c>
    </row>
    <row r="138">
      <c r="S138" s="6" t="str">
        <f>IFERROR(__xludf.DUMMYFUNCTION("""COMPUTED_VALUE"""),"PRD-190826-000107")</f>
        <v>PRD-190826-000107</v>
      </c>
      <c r="T138" s="6" t="str">
        <f>IFERROR(__xludf.DUMMYFUNCTION("""COMPUTED_VALUE"""),"19/08/2026 14:16")</f>
        <v>19/08/2026 14:16</v>
      </c>
      <c r="U138" s="6" t="str">
        <f>IFERROR(__xludf.DUMMYFUNCTION("""COMPUTED_VALUE"""),"Kodriyah")</f>
        <v>Kodriyah</v>
      </c>
      <c r="V138" s="6" t="str">
        <f>IFERROR(__xludf.DUMMYFUNCTION("""COMPUTED_VALUE"""),"Blouse")</f>
        <v>Blouse</v>
      </c>
      <c r="W138" s="6">
        <f>IFERROR(__xludf.DUMMYFUNCTION("""COMPUTED_VALUE"""),1.0)</f>
        <v>1</v>
      </c>
      <c r="X138" s="6" t="str">
        <f>IFERROR(__xludf.DUMMYFUNCTION("""COMPUTED_VALUE"""),"Wellness")</f>
        <v>Wellness</v>
      </c>
      <c r="Y138" s="6" t="s">
        <v>720</v>
      </c>
    </row>
    <row r="139">
      <c r="S139" s="6" t="str">
        <f>IFERROR(__xludf.DUMMYFUNCTION("""COMPUTED_VALUE"""),"PRD-190826-000108")</f>
        <v>PRD-190826-000108</v>
      </c>
      <c r="T139" s="6" t="str">
        <f>IFERROR(__xludf.DUMMYFUNCTION("""COMPUTED_VALUE"""),"19/08/2026 14:16")</f>
        <v>19/08/2026 14:16</v>
      </c>
      <c r="U139" s="6" t="str">
        <f>IFERROR(__xludf.DUMMYFUNCTION("""COMPUTED_VALUE"""),"Kodriyah")</f>
        <v>Kodriyah</v>
      </c>
      <c r="V139" s="6" t="str">
        <f>IFERROR(__xludf.DUMMYFUNCTION("""COMPUTED_VALUE"""),"Polo Shirt")</f>
        <v>Polo Shirt</v>
      </c>
      <c r="W139" s="6">
        <f>IFERROR(__xludf.DUMMYFUNCTION("""COMPUTED_VALUE"""),1.0)</f>
        <v>1</v>
      </c>
      <c r="X139" s="6" t="str">
        <f>IFERROR(__xludf.DUMMYFUNCTION("""COMPUTED_VALUE"""),"Wellness")</f>
        <v>Wellness</v>
      </c>
      <c r="Y139" s="6" t="s">
        <v>720</v>
      </c>
    </row>
    <row r="140">
      <c r="S140" s="6" t="str">
        <f>IFERROR(__xludf.DUMMYFUNCTION("""COMPUTED_VALUE"""),"PRD-190826-000109")</f>
        <v>PRD-190826-000109</v>
      </c>
      <c r="T140" s="6" t="str">
        <f>IFERROR(__xludf.DUMMYFUNCTION("""COMPUTED_VALUE"""),"19/08/2026 14:16")</f>
        <v>19/08/2026 14:16</v>
      </c>
      <c r="U140" s="6" t="str">
        <f>IFERROR(__xludf.DUMMYFUNCTION("""COMPUTED_VALUE"""),"Kodriyah")</f>
        <v>Kodriyah</v>
      </c>
      <c r="V140" s="6" t="str">
        <f>IFERROR(__xludf.DUMMYFUNCTION("""COMPUTED_VALUE"""),"Dress")</f>
        <v>Dress</v>
      </c>
      <c r="W140" s="6">
        <f>IFERROR(__xludf.DUMMYFUNCTION("""COMPUTED_VALUE"""),1.0)</f>
        <v>1</v>
      </c>
      <c r="X140" s="6" t="str">
        <f>IFERROR(__xludf.DUMMYFUNCTION("""COMPUTED_VALUE"""),"Wellness")</f>
        <v>Wellness</v>
      </c>
      <c r="Y140" s="6" t="s">
        <v>720</v>
      </c>
    </row>
    <row r="141">
      <c r="S141" s="6" t="str">
        <f>IFERROR(__xludf.DUMMYFUNCTION("""COMPUTED_VALUE"""),"PRD-190826-000110")</f>
        <v>PRD-190826-000110</v>
      </c>
      <c r="T141" s="6" t="str">
        <f>IFERROR(__xludf.DUMMYFUNCTION("""COMPUTED_VALUE"""),"19/08/2026 14:18")</f>
        <v>19/08/2026 14:18</v>
      </c>
      <c r="U141" s="6" t="str">
        <f>IFERROR(__xludf.DUMMYFUNCTION("""COMPUTED_VALUE"""),"Kodriyah")</f>
        <v>Kodriyah</v>
      </c>
      <c r="V141" s="6" t="str">
        <f>IFERROR(__xludf.DUMMYFUNCTION("""COMPUTED_VALUE"""),"Polo Shirt")</f>
        <v>Polo Shirt</v>
      </c>
      <c r="W141" s="6">
        <f>IFERROR(__xludf.DUMMYFUNCTION("""COMPUTED_VALUE"""),2.0)</f>
        <v>2</v>
      </c>
      <c r="X141" s="6" t="str">
        <f>IFERROR(__xludf.DUMMYFUNCTION("""COMPUTED_VALUE"""),"Azure")</f>
        <v>Azure</v>
      </c>
      <c r="Y141" s="6" t="s">
        <v>720</v>
      </c>
    </row>
    <row r="142">
      <c r="S142" s="6" t="str">
        <f>IFERROR(__xludf.DUMMYFUNCTION("""COMPUTED_VALUE"""),"PRD-190826-000111")</f>
        <v>PRD-190826-000111</v>
      </c>
      <c r="T142" s="6" t="str">
        <f>IFERROR(__xludf.DUMMYFUNCTION("""COMPUTED_VALUE"""),"19/08/2026 14:26")</f>
        <v>19/08/2026 14:26</v>
      </c>
      <c r="U142" s="6" t="str">
        <f>IFERROR(__xludf.DUMMYFUNCTION("""COMPUTED_VALUE"""),"Kodriyah")</f>
        <v>Kodriyah</v>
      </c>
      <c r="V142" s="6" t="str">
        <f>IFERROR(__xludf.DUMMYFUNCTION("""COMPUTED_VALUE"""),"Napkin")</f>
        <v>Napkin</v>
      </c>
      <c r="W142" s="6">
        <f>IFERROR(__xludf.DUMMYFUNCTION("""COMPUTED_VALUE"""),58.0)</f>
        <v>58</v>
      </c>
      <c r="X142" s="6" t="str">
        <f>IFERROR(__xludf.DUMMYFUNCTION("""COMPUTED_VALUE"""),"LiFeng")</f>
        <v>LiFeng</v>
      </c>
      <c r="Y142" s="6" t="s">
        <v>720</v>
      </c>
    </row>
    <row r="143">
      <c r="S143" s="6" t="str">
        <f>IFERROR(__xludf.DUMMYFUNCTION("""COMPUTED_VALUE"""),"PRD-190826-000112")</f>
        <v>PRD-190826-000112</v>
      </c>
      <c r="T143" s="6" t="str">
        <f>IFERROR(__xludf.DUMMYFUNCTION("""COMPUTED_VALUE"""),"19/08/2026 14:27")</f>
        <v>19/08/2026 14:27</v>
      </c>
      <c r="U143" s="6" t="str">
        <f>IFERROR(__xludf.DUMMYFUNCTION("""COMPUTED_VALUE"""),"Kodriyah")</f>
        <v>Kodriyah</v>
      </c>
      <c r="V143" s="6" t="str">
        <f>IFERROR(__xludf.DUMMYFUNCTION("""COMPUTED_VALUE"""),"Napkin")</f>
        <v>Napkin</v>
      </c>
      <c r="W143" s="6">
        <f>IFERROR(__xludf.DUMMYFUNCTION("""COMPUTED_VALUE"""),40.0)</f>
        <v>40</v>
      </c>
      <c r="X143" s="6" t="str">
        <f>IFERROR(__xludf.DUMMYFUNCTION("""COMPUTED_VALUE"""),"IRD")</f>
        <v>IRD</v>
      </c>
      <c r="Y143" s="6" t="s">
        <v>720</v>
      </c>
    </row>
    <row r="144">
      <c r="S144" s="6" t="str">
        <f>IFERROR(__xludf.DUMMYFUNCTION("""COMPUTED_VALUE"""),"PRD-190826-000113")</f>
        <v>PRD-190826-000113</v>
      </c>
      <c r="T144" s="6" t="str">
        <f>IFERROR(__xludf.DUMMYFUNCTION("""COMPUTED_VALUE"""),"19/08/2026 14:27")</f>
        <v>19/08/2026 14:27</v>
      </c>
      <c r="U144" s="6" t="str">
        <f>IFERROR(__xludf.DUMMYFUNCTION("""COMPUTED_VALUE"""),"Kodriyah")</f>
        <v>Kodriyah</v>
      </c>
      <c r="V144" s="6" t="str">
        <f>IFERROR(__xludf.DUMMYFUNCTION("""COMPUTED_VALUE"""),"Napkin")</f>
        <v>Napkin</v>
      </c>
      <c r="W144" s="6">
        <f>IFERROR(__xludf.DUMMYFUNCTION("""COMPUTED_VALUE"""),37.0)</f>
        <v>37</v>
      </c>
      <c r="X144" s="6" t="str">
        <f>IFERROR(__xludf.DUMMYFUNCTION("""COMPUTED_VALUE"""),"Club")</f>
        <v>Club</v>
      </c>
      <c r="Y144" s="6" t="s">
        <v>720</v>
      </c>
    </row>
    <row r="145">
      <c r="S145" s="6" t="str">
        <f>IFERROR(__xludf.DUMMYFUNCTION("""COMPUTED_VALUE"""),"PRD-190826-000114")</f>
        <v>PRD-190826-000114</v>
      </c>
      <c r="T145" s="6" t="str">
        <f>IFERROR(__xludf.DUMMYFUNCTION("""COMPUTED_VALUE"""),"19/08/2026 14:34")</f>
        <v>19/08/2026 14:34</v>
      </c>
      <c r="U145" s="6" t="str">
        <f>IFERROR(__xludf.DUMMYFUNCTION("""COMPUTED_VALUE"""),"Kodriyah")</f>
        <v>Kodriyah</v>
      </c>
      <c r="V145" s="6" t="str">
        <f>IFERROR(__xludf.DUMMYFUNCTION("""COMPUTED_VALUE"""),"Napkin")</f>
        <v>Napkin</v>
      </c>
      <c r="W145" s="6">
        <f>IFERROR(__xludf.DUMMYFUNCTION("""COMPUTED_VALUE"""),143.0)</f>
        <v>143</v>
      </c>
      <c r="X145" s="6" t="str">
        <f>IFERROR(__xludf.DUMMYFUNCTION("""COMPUTED_VALUE"""),"Cinnamon")</f>
        <v>Cinnamon</v>
      </c>
      <c r="Y145" s="6" t="s">
        <v>720</v>
      </c>
    </row>
    <row r="146">
      <c r="S146" s="6" t="str">
        <f>IFERROR(__xludf.DUMMYFUNCTION("""COMPUTED_VALUE"""),"PRD-190826-000115")</f>
        <v>PRD-190826-000115</v>
      </c>
      <c r="T146" s="6" t="str">
        <f>IFERROR(__xludf.DUMMYFUNCTION("""COMPUTED_VALUE"""),"19/08/2026 14:36")</f>
        <v>19/08/2026 14:36</v>
      </c>
      <c r="U146" s="6" t="str">
        <f>IFERROR(__xludf.DUMMYFUNCTION("""COMPUTED_VALUE"""),"Kodriyah")</f>
        <v>Kodriyah</v>
      </c>
      <c r="V146" s="6" t="str">
        <f>IFERROR(__xludf.DUMMYFUNCTION("""COMPUTED_VALUE"""),"Napkin")</f>
        <v>Napkin</v>
      </c>
      <c r="W146" s="6">
        <f>IFERROR(__xludf.DUMMYFUNCTION("""COMPUTED_VALUE"""),7.0)</f>
        <v>7</v>
      </c>
      <c r="X146" s="6" t="str">
        <f>IFERROR(__xludf.DUMMYFUNCTION("""COMPUTED_VALUE"""),"Banquet")</f>
        <v>Banquet</v>
      </c>
      <c r="Y146" s="6" t="s">
        <v>720</v>
      </c>
    </row>
    <row r="147">
      <c r="S147" s="6" t="str">
        <f>IFERROR(__xludf.DUMMYFUNCTION("""COMPUTED_VALUE"""),"PRD-190826-000121")</f>
        <v>PRD-190826-000121</v>
      </c>
      <c r="T147" s="6" t="str">
        <f>IFERROR(__xludf.DUMMYFUNCTION("""COMPUTED_VALUE"""),"19/08/2026 20:49")</f>
        <v>19/08/2026 20:49</v>
      </c>
      <c r="U147" s="6" t="str">
        <f>IFERROR(__xludf.DUMMYFUNCTION("""COMPUTED_VALUE"""),"Mukhlis")</f>
        <v>Mukhlis</v>
      </c>
      <c r="V147" s="6" t="str">
        <f>IFERROR(__xludf.DUMMYFUNCTION("""COMPUTED_VALUE"""),"Napkin")</f>
        <v>Napkin</v>
      </c>
      <c r="W147" s="6">
        <f>IFERROR(__xludf.DUMMYFUNCTION("""COMPUTED_VALUE"""),19.0)</f>
        <v>19</v>
      </c>
      <c r="X147" s="6" t="str">
        <f>IFERROR(__xludf.DUMMYFUNCTION("""COMPUTED_VALUE"""),"Club")</f>
        <v>Club</v>
      </c>
      <c r="Y147" s="6" t="s">
        <v>720</v>
      </c>
    </row>
    <row r="148">
      <c r="S148" s="6" t="str">
        <f>IFERROR(__xludf.DUMMYFUNCTION("""COMPUTED_VALUE"""),"PRD-190826-000122")</f>
        <v>PRD-190826-000122</v>
      </c>
      <c r="T148" s="6" t="str">
        <f>IFERROR(__xludf.DUMMYFUNCTION("""COMPUTED_VALUE"""),"19/08/2026 20:50")</f>
        <v>19/08/2026 20:50</v>
      </c>
      <c r="U148" s="6" t="str">
        <f>IFERROR(__xludf.DUMMYFUNCTION("""COMPUTED_VALUE"""),"Mukhlis")</f>
        <v>Mukhlis</v>
      </c>
      <c r="V148" s="6" t="str">
        <f>IFERROR(__xludf.DUMMYFUNCTION("""COMPUTED_VALUE"""),"Napkin")</f>
        <v>Napkin</v>
      </c>
      <c r="W148" s="6">
        <f>IFERROR(__xludf.DUMMYFUNCTION("""COMPUTED_VALUE"""),2.0)</f>
        <v>2</v>
      </c>
      <c r="X148" s="6" t="str">
        <f>IFERROR(__xludf.DUMMYFUNCTION("""COMPUTED_VALUE"""),"LiFeng")</f>
        <v>LiFeng</v>
      </c>
      <c r="Y148" s="6" t="s">
        <v>720</v>
      </c>
    </row>
    <row r="149">
      <c r="S149" s="6" t="str">
        <f>IFERROR(__xludf.DUMMYFUNCTION("""COMPUTED_VALUE"""),"PRD-190826-000123")</f>
        <v>PRD-190826-000123</v>
      </c>
      <c r="T149" s="6" t="str">
        <f>IFERROR(__xludf.DUMMYFUNCTION("""COMPUTED_VALUE"""),"19/08/2026 20:50")</f>
        <v>19/08/2026 20:50</v>
      </c>
      <c r="U149" s="6" t="str">
        <f>IFERROR(__xludf.DUMMYFUNCTION("""COMPUTED_VALUE"""),"Mukhlis")</f>
        <v>Mukhlis</v>
      </c>
      <c r="V149" s="6" t="str">
        <f>IFERROR(__xludf.DUMMYFUNCTION("""COMPUTED_VALUE"""),"Napkin")</f>
        <v>Napkin</v>
      </c>
      <c r="W149" s="6">
        <f>IFERROR(__xludf.DUMMYFUNCTION("""COMPUTED_VALUE"""),5.0)</f>
        <v>5</v>
      </c>
      <c r="X149" s="6" t="str">
        <f>IFERROR(__xludf.DUMMYFUNCTION("""COMPUTED_VALUE"""),"IRD")</f>
        <v>IRD</v>
      </c>
      <c r="Y149" s="6" t="s">
        <v>720</v>
      </c>
    </row>
    <row r="150">
      <c r="S150" s="6" t="str">
        <f>IFERROR(__xludf.DUMMYFUNCTION("""COMPUTED_VALUE"""),"PRD-190826-000124")</f>
        <v>PRD-190826-000124</v>
      </c>
      <c r="T150" s="6" t="str">
        <f>IFERROR(__xludf.DUMMYFUNCTION("""COMPUTED_VALUE"""),"19/08/2026 20:51")</f>
        <v>19/08/2026 20:51</v>
      </c>
      <c r="U150" s="6" t="str">
        <f>IFERROR(__xludf.DUMMYFUNCTION("""COMPUTED_VALUE"""),"Mukhlis")</f>
        <v>Mukhlis</v>
      </c>
      <c r="V150" s="6" t="str">
        <f>IFERROR(__xludf.DUMMYFUNCTION("""COMPUTED_VALUE"""),"Napkin")</f>
        <v>Napkin</v>
      </c>
      <c r="W150" s="6">
        <f>IFERROR(__xludf.DUMMYFUNCTION("""COMPUTED_VALUE"""),304.0)</f>
        <v>304</v>
      </c>
      <c r="X150" s="6" t="str">
        <f>IFERROR(__xludf.DUMMYFUNCTION("""COMPUTED_VALUE"""),"Cinnamon")</f>
        <v>Cinnamon</v>
      </c>
      <c r="Y150" s="6" t="s">
        <v>720</v>
      </c>
    </row>
    <row r="151">
      <c r="S151" s="6" t="str">
        <f>IFERROR(__xludf.DUMMYFUNCTION("""COMPUTED_VALUE"""),"PRD-200826-000003")</f>
        <v>PRD-200826-000003</v>
      </c>
      <c r="T151" s="6" t="str">
        <f>IFERROR(__xludf.DUMMYFUNCTION("""COMPUTED_VALUE"""),"20/08/2026 14:46")</f>
        <v>20/08/2026 14:46</v>
      </c>
      <c r="U151" s="6" t="str">
        <f>IFERROR(__xludf.DUMMYFUNCTION("""COMPUTED_VALUE"""),"Prima")</f>
        <v>Prima</v>
      </c>
      <c r="V151" s="6" t="str">
        <f>IFERROR(__xludf.DUMMYFUNCTION("""COMPUTED_VALUE"""),"Napkin")</f>
        <v>Napkin</v>
      </c>
      <c r="W151" s="6">
        <f>IFERROR(__xludf.DUMMYFUNCTION("""COMPUTED_VALUE"""),35.0)</f>
        <v>35</v>
      </c>
      <c r="X151" s="6" t="str">
        <f>IFERROR(__xludf.DUMMYFUNCTION("""COMPUTED_VALUE"""),"IRD")</f>
        <v>IRD</v>
      </c>
      <c r="Y151" s="6" t="s">
        <v>952</v>
      </c>
    </row>
    <row r="152">
      <c r="S152" s="6" t="str">
        <f>IFERROR(__xludf.DUMMYFUNCTION("""COMPUTED_VALUE"""),"PRD-200826-000004")</f>
        <v>PRD-200826-000004</v>
      </c>
      <c r="T152" s="6" t="str">
        <f>IFERROR(__xludf.DUMMYFUNCTION("""COMPUTED_VALUE"""),"20/08/2026 14:47")</f>
        <v>20/08/2026 14:47</v>
      </c>
      <c r="U152" s="6" t="str">
        <f>IFERROR(__xludf.DUMMYFUNCTION("""COMPUTED_VALUE"""),"Prima")</f>
        <v>Prima</v>
      </c>
      <c r="V152" s="6" t="str">
        <f>IFERROR(__xludf.DUMMYFUNCTION("""COMPUTED_VALUE"""),"Napkin")</f>
        <v>Napkin</v>
      </c>
      <c r="W152" s="6">
        <f>IFERROR(__xludf.DUMMYFUNCTION("""COMPUTED_VALUE"""),4.0)</f>
        <v>4</v>
      </c>
      <c r="X152" s="6" t="str">
        <f>IFERROR(__xludf.DUMMYFUNCTION("""COMPUTED_VALUE"""),"MO Bar")</f>
        <v>MO Bar</v>
      </c>
      <c r="Y152" s="6" t="s">
        <v>952</v>
      </c>
    </row>
    <row r="153">
      <c r="S153" s="6" t="str">
        <f>IFERROR(__xludf.DUMMYFUNCTION("""COMPUTED_VALUE"""),"PRD-200826-000005")</f>
        <v>PRD-200826-000005</v>
      </c>
      <c r="T153" s="6" t="str">
        <f>IFERROR(__xludf.DUMMYFUNCTION("""COMPUTED_VALUE"""),"20/08/2026 14:47")</f>
        <v>20/08/2026 14:47</v>
      </c>
      <c r="U153" s="6" t="str">
        <f>IFERROR(__xludf.DUMMYFUNCTION("""COMPUTED_VALUE"""),"Prima")</f>
        <v>Prima</v>
      </c>
      <c r="V153" s="6" t="str">
        <f>IFERROR(__xludf.DUMMYFUNCTION("""COMPUTED_VALUE"""),"Napkin")</f>
        <v>Napkin</v>
      </c>
      <c r="W153" s="6">
        <f>IFERROR(__xludf.DUMMYFUNCTION("""COMPUTED_VALUE"""),29.0)</f>
        <v>29</v>
      </c>
      <c r="X153" s="6" t="str">
        <f>IFERROR(__xludf.DUMMYFUNCTION("""COMPUTED_VALUE"""),"Club")</f>
        <v>Club</v>
      </c>
      <c r="Y153" s="6" t="s">
        <v>952</v>
      </c>
    </row>
    <row r="154">
      <c r="S154" s="6" t="str">
        <f>IFERROR(__xludf.DUMMYFUNCTION("""COMPUTED_VALUE"""),"PRD-200826-000006")</f>
        <v>PRD-200826-000006</v>
      </c>
      <c r="T154" s="6" t="str">
        <f>IFERROR(__xludf.DUMMYFUNCTION("""COMPUTED_VALUE"""),"20/08/2026 14:48")</f>
        <v>20/08/2026 14:48</v>
      </c>
      <c r="U154" s="6" t="str">
        <f>IFERROR(__xludf.DUMMYFUNCTION("""COMPUTED_VALUE"""),"Prima")</f>
        <v>Prima</v>
      </c>
      <c r="V154" s="6" t="str">
        <f>IFERROR(__xludf.DUMMYFUNCTION("""COMPUTED_VALUE"""),"Napkin")</f>
        <v>Napkin</v>
      </c>
      <c r="W154" s="6">
        <f>IFERROR(__xludf.DUMMYFUNCTION("""COMPUTED_VALUE"""),79.0)</f>
        <v>79</v>
      </c>
      <c r="X154" s="6" t="str">
        <f>IFERROR(__xludf.DUMMYFUNCTION("""COMPUTED_VALUE"""),"LiFeng")</f>
        <v>LiFeng</v>
      </c>
      <c r="Y154" s="6" t="s">
        <v>952</v>
      </c>
    </row>
    <row r="155">
      <c r="S155" s="6" t="str">
        <f>IFERROR(__xludf.DUMMYFUNCTION("""COMPUTED_VALUE"""),"PRD-200826-000007")</f>
        <v>PRD-200826-000007</v>
      </c>
      <c r="T155" s="6" t="str">
        <f>IFERROR(__xludf.DUMMYFUNCTION("""COMPUTED_VALUE"""),"20/08/2026 14:48")</f>
        <v>20/08/2026 14:48</v>
      </c>
      <c r="U155" s="6" t="str">
        <f>IFERROR(__xludf.DUMMYFUNCTION("""COMPUTED_VALUE"""),"Prima")</f>
        <v>Prima</v>
      </c>
      <c r="V155" s="6" t="str">
        <f>IFERROR(__xludf.DUMMYFUNCTION("""COMPUTED_VALUE"""),"Napkin")</f>
        <v>Napkin</v>
      </c>
      <c r="W155" s="6">
        <f>IFERROR(__xludf.DUMMYFUNCTION("""COMPUTED_VALUE"""),119.0)</f>
        <v>119</v>
      </c>
      <c r="X155" s="6" t="str">
        <f>IFERROR(__xludf.DUMMYFUNCTION("""COMPUTED_VALUE"""),"Cinnamon")</f>
        <v>Cinnamon</v>
      </c>
      <c r="Y155" s="6" t="s">
        <v>952</v>
      </c>
    </row>
    <row r="156">
      <c r="S156" s="6" t="str">
        <f>IFERROR(__xludf.DUMMYFUNCTION("""COMPUTED_VALUE"""),"PRD-200826-000008")</f>
        <v>PRD-200826-000008</v>
      </c>
      <c r="T156" s="6" t="str">
        <f>IFERROR(__xludf.DUMMYFUNCTION("""COMPUTED_VALUE"""),"20/08/2026 14:51")</f>
        <v>20/08/2026 14:51</v>
      </c>
      <c r="U156" s="6" t="str">
        <f>IFERROR(__xludf.DUMMYFUNCTION("""COMPUTED_VALUE"""),"Prima")</f>
        <v>Prima</v>
      </c>
      <c r="V156" s="6" t="str">
        <f>IFERROR(__xludf.DUMMYFUNCTION("""COMPUTED_VALUE"""),"Trousers")</f>
        <v>Trousers</v>
      </c>
      <c r="W156" s="6">
        <f>IFERROR(__xludf.DUMMYFUNCTION("""COMPUTED_VALUE"""),38.0)</f>
        <v>38</v>
      </c>
      <c r="X156" s="6" t="str">
        <f>IFERROR(__xludf.DUMMYFUNCTION("""COMPUTED_VALUE"""),"Housekeeping")</f>
        <v>Housekeeping</v>
      </c>
      <c r="Y156" s="6" t="s">
        <v>952</v>
      </c>
    </row>
    <row r="157">
      <c r="S157" s="6" t="str">
        <f>IFERROR(__xludf.DUMMYFUNCTION("""COMPUTED_VALUE"""),"PRD-200826-000009")</f>
        <v>PRD-200826-000009</v>
      </c>
      <c r="T157" s="6" t="str">
        <f>IFERROR(__xludf.DUMMYFUNCTION("""COMPUTED_VALUE"""),"20/08/2026 14:51")</f>
        <v>20/08/2026 14:51</v>
      </c>
      <c r="U157" s="6" t="str">
        <f>IFERROR(__xludf.DUMMYFUNCTION("""COMPUTED_VALUE"""),"Prima")</f>
        <v>Prima</v>
      </c>
      <c r="V157" s="6" t="str">
        <f>IFERROR(__xludf.DUMMYFUNCTION("""COMPUTED_VALUE"""),"Shirt")</f>
        <v>Shirt</v>
      </c>
      <c r="W157" s="6">
        <f>IFERROR(__xludf.DUMMYFUNCTION("""COMPUTED_VALUE"""),36.0)</f>
        <v>36</v>
      </c>
      <c r="X157" s="6" t="str">
        <f>IFERROR(__xludf.DUMMYFUNCTION("""COMPUTED_VALUE"""),"Housekeeping")</f>
        <v>Housekeeping</v>
      </c>
      <c r="Y157" s="6" t="s">
        <v>952</v>
      </c>
    </row>
    <row r="158">
      <c r="S158" s="6" t="str">
        <f>IFERROR(__xludf.DUMMYFUNCTION("""COMPUTED_VALUE"""),"PRD-200826-000010")</f>
        <v>PRD-200826-000010</v>
      </c>
      <c r="T158" s="6" t="str">
        <f>IFERROR(__xludf.DUMMYFUNCTION("""COMPUTED_VALUE"""),"20/08/2026 14:51")</f>
        <v>20/08/2026 14:51</v>
      </c>
      <c r="U158" s="6" t="str">
        <f>IFERROR(__xludf.DUMMYFUNCTION("""COMPUTED_VALUE"""),"Prima")</f>
        <v>Prima</v>
      </c>
      <c r="V158" s="6" t="str">
        <f>IFERROR(__xludf.DUMMYFUNCTION("""COMPUTED_VALUE"""),"Blouse")</f>
        <v>Blouse</v>
      </c>
      <c r="W158" s="6">
        <f>IFERROR(__xludf.DUMMYFUNCTION("""COMPUTED_VALUE"""),2.0)</f>
        <v>2</v>
      </c>
      <c r="X158" s="6" t="str">
        <f>IFERROR(__xludf.DUMMYFUNCTION("""COMPUTED_VALUE"""),"Housekeeping")</f>
        <v>Housekeeping</v>
      </c>
      <c r="Y158" s="6" t="s">
        <v>952</v>
      </c>
    </row>
    <row r="159">
      <c r="S159" s="6" t="str">
        <f>IFERROR(__xludf.DUMMYFUNCTION("""COMPUTED_VALUE"""),"PRD-200826-000011")</f>
        <v>PRD-200826-000011</v>
      </c>
      <c r="T159" s="6" t="str">
        <f>IFERROR(__xludf.DUMMYFUNCTION("""COMPUTED_VALUE"""),"20/08/2026 14:54")</f>
        <v>20/08/2026 14:54</v>
      </c>
      <c r="U159" s="6" t="str">
        <f>IFERROR(__xludf.DUMMYFUNCTION("""COMPUTED_VALUE"""),"Prima")</f>
        <v>Prima</v>
      </c>
      <c r="V159" s="6" t="str">
        <f>IFERROR(__xludf.DUMMYFUNCTION("""COMPUTED_VALUE"""),"Trousers")</f>
        <v>Trousers</v>
      </c>
      <c r="W159" s="6">
        <f>IFERROR(__xludf.DUMMYFUNCTION("""COMPUTED_VALUE"""),3.0)</f>
        <v>3</v>
      </c>
      <c r="X159" s="6" t="str">
        <f>IFERROR(__xludf.DUMMYFUNCTION("""COMPUTED_VALUE"""),"Front Office")</f>
        <v>Front Office</v>
      </c>
      <c r="Y159" s="6" t="s">
        <v>952</v>
      </c>
    </row>
    <row r="160">
      <c r="S160" s="6" t="str">
        <f>IFERROR(__xludf.DUMMYFUNCTION("""COMPUTED_VALUE"""),"PRD-200826-000012")</f>
        <v>PRD-200826-000012</v>
      </c>
      <c r="T160" s="6" t="str">
        <f>IFERROR(__xludf.DUMMYFUNCTION("""COMPUTED_VALUE"""),"20/08/2026 14:54")</f>
        <v>20/08/2026 14:54</v>
      </c>
      <c r="U160" s="6" t="str">
        <f>IFERROR(__xludf.DUMMYFUNCTION("""COMPUTED_VALUE"""),"Prima")</f>
        <v>Prima</v>
      </c>
      <c r="V160" s="6" t="str">
        <f>IFERROR(__xludf.DUMMYFUNCTION("""COMPUTED_VALUE"""),"Skirt")</f>
        <v>Skirt</v>
      </c>
      <c r="W160" s="6">
        <f>IFERROR(__xludf.DUMMYFUNCTION("""COMPUTED_VALUE"""),4.0)</f>
        <v>4</v>
      </c>
      <c r="X160" s="6" t="str">
        <f>IFERROR(__xludf.DUMMYFUNCTION("""COMPUTED_VALUE"""),"Front Office")</f>
        <v>Front Office</v>
      </c>
      <c r="Y160" s="6" t="s">
        <v>952</v>
      </c>
    </row>
    <row r="161">
      <c r="S161" s="6" t="str">
        <f>IFERROR(__xludf.DUMMYFUNCTION("""COMPUTED_VALUE"""),"PRD-200826-000013")</f>
        <v>PRD-200826-000013</v>
      </c>
      <c r="T161" s="6" t="str">
        <f>IFERROR(__xludf.DUMMYFUNCTION("""COMPUTED_VALUE"""),"20/08/2026 14:54")</f>
        <v>20/08/2026 14:54</v>
      </c>
      <c r="U161" s="6" t="str">
        <f>IFERROR(__xludf.DUMMYFUNCTION("""COMPUTED_VALUE"""),"Prima")</f>
        <v>Prima</v>
      </c>
      <c r="V161" s="6" t="str">
        <f>IFERROR(__xludf.DUMMYFUNCTION("""COMPUTED_VALUE"""),"Shirt")</f>
        <v>Shirt</v>
      </c>
      <c r="W161" s="6">
        <f>IFERROR(__xludf.DUMMYFUNCTION("""COMPUTED_VALUE"""),4.0)</f>
        <v>4</v>
      </c>
      <c r="X161" s="6" t="str">
        <f>IFERROR(__xludf.DUMMYFUNCTION("""COMPUTED_VALUE"""),"Front Office")</f>
        <v>Front Office</v>
      </c>
      <c r="Y161" s="6" t="s">
        <v>952</v>
      </c>
    </row>
    <row r="162">
      <c r="S162" s="6" t="str">
        <f>IFERROR(__xludf.DUMMYFUNCTION("""COMPUTED_VALUE"""),"PRD-200826-000014")</f>
        <v>PRD-200826-000014</v>
      </c>
      <c r="T162" s="6" t="str">
        <f>IFERROR(__xludf.DUMMYFUNCTION("""COMPUTED_VALUE"""),"20/08/2026 14:54")</f>
        <v>20/08/2026 14:54</v>
      </c>
      <c r="U162" s="6" t="str">
        <f>IFERROR(__xludf.DUMMYFUNCTION("""COMPUTED_VALUE"""),"Prima")</f>
        <v>Prima</v>
      </c>
      <c r="V162" s="6" t="str">
        <f>IFERROR(__xludf.DUMMYFUNCTION("""COMPUTED_VALUE"""),"Blouse")</f>
        <v>Blouse</v>
      </c>
      <c r="W162" s="6">
        <f>IFERROR(__xludf.DUMMYFUNCTION("""COMPUTED_VALUE"""),4.0)</f>
        <v>4</v>
      </c>
      <c r="X162" s="6" t="str">
        <f>IFERROR(__xludf.DUMMYFUNCTION("""COMPUTED_VALUE"""),"Front Office")</f>
        <v>Front Office</v>
      </c>
      <c r="Y162" s="6" t="s">
        <v>952</v>
      </c>
    </row>
    <row r="163">
      <c r="S163" s="6" t="str">
        <f>IFERROR(__xludf.DUMMYFUNCTION("""COMPUTED_VALUE"""),"PRD-200826-000015")</f>
        <v>PRD-200826-000015</v>
      </c>
      <c r="T163" s="6" t="str">
        <f>IFERROR(__xludf.DUMMYFUNCTION("""COMPUTED_VALUE"""),"20/08/2026 14:54")</f>
        <v>20/08/2026 14:54</v>
      </c>
      <c r="U163" s="6" t="str">
        <f>IFERROR(__xludf.DUMMYFUNCTION("""COMPUTED_VALUE"""),"Prima")</f>
        <v>Prima</v>
      </c>
      <c r="V163" s="6" t="str">
        <f>IFERROR(__xludf.DUMMYFUNCTION("""COMPUTED_VALUE"""),"Jacket")</f>
        <v>Jacket</v>
      </c>
      <c r="W163" s="6">
        <f>IFERROR(__xludf.DUMMYFUNCTION("""COMPUTED_VALUE"""),2.0)</f>
        <v>2</v>
      </c>
      <c r="X163" s="6" t="str">
        <f>IFERROR(__xludf.DUMMYFUNCTION("""COMPUTED_VALUE"""),"Front Office")</f>
        <v>Front Office</v>
      </c>
      <c r="Y163" s="6" t="s">
        <v>952</v>
      </c>
    </row>
    <row r="164">
      <c r="S164" s="6" t="str">
        <f>IFERROR(__xludf.DUMMYFUNCTION("""COMPUTED_VALUE"""),"PRD-200826-000016")</f>
        <v>PRD-200826-000016</v>
      </c>
      <c r="T164" s="6" t="str">
        <f>IFERROR(__xludf.DUMMYFUNCTION("""COMPUTED_VALUE"""),"20/08/2026 14:54")</f>
        <v>20/08/2026 14:54</v>
      </c>
      <c r="U164" s="6" t="str">
        <f>IFERROR(__xludf.DUMMYFUNCTION("""COMPUTED_VALUE"""),"Prima")</f>
        <v>Prima</v>
      </c>
      <c r="V164" s="6" t="str">
        <f>IFERROR(__xludf.DUMMYFUNCTION("""COMPUTED_VALUE"""),"Vest")</f>
        <v>Vest</v>
      </c>
      <c r="W164" s="6">
        <f>IFERROR(__xludf.DUMMYFUNCTION("""COMPUTED_VALUE"""),1.0)</f>
        <v>1</v>
      </c>
      <c r="X164" s="6" t="str">
        <f>IFERROR(__xludf.DUMMYFUNCTION("""COMPUTED_VALUE"""),"Front Office")</f>
        <v>Front Office</v>
      </c>
      <c r="Y164" s="6" t="s">
        <v>952</v>
      </c>
    </row>
    <row r="165">
      <c r="S165" s="6" t="str">
        <f>IFERROR(__xludf.DUMMYFUNCTION("""COMPUTED_VALUE"""),"PRD-200826-000017")</f>
        <v>PRD-200826-000017</v>
      </c>
      <c r="T165" s="6" t="str">
        <f>IFERROR(__xludf.DUMMYFUNCTION("""COMPUTED_VALUE"""),"20/08/2026 14:55")</f>
        <v>20/08/2026 14:55</v>
      </c>
      <c r="U165" s="6" t="str">
        <f>IFERROR(__xludf.DUMMYFUNCTION("""COMPUTED_VALUE"""),"Prima")</f>
        <v>Prima</v>
      </c>
      <c r="V165" s="6" t="str">
        <f>IFERROR(__xludf.DUMMYFUNCTION("""COMPUTED_VALUE"""),"Skirt")</f>
        <v>Skirt</v>
      </c>
      <c r="W165" s="6">
        <f>IFERROR(__xludf.DUMMYFUNCTION("""COMPUTED_VALUE"""),3.0)</f>
        <v>3</v>
      </c>
      <c r="X165" s="6" t="str">
        <f>IFERROR(__xludf.DUMMYFUNCTION("""COMPUTED_VALUE"""),"GRE")</f>
        <v>GRE</v>
      </c>
      <c r="Y165" s="6" t="s">
        <v>952</v>
      </c>
    </row>
    <row r="166">
      <c r="S166" s="6" t="str">
        <f>IFERROR(__xludf.DUMMYFUNCTION("""COMPUTED_VALUE"""),"PRD-200826-000018")</f>
        <v>PRD-200826-000018</v>
      </c>
      <c r="T166" s="6" t="str">
        <f>IFERROR(__xludf.DUMMYFUNCTION("""COMPUTED_VALUE"""),"20/08/2026 14:55")</f>
        <v>20/08/2026 14:55</v>
      </c>
      <c r="U166" s="6" t="str">
        <f>IFERROR(__xludf.DUMMYFUNCTION("""COMPUTED_VALUE"""),"Prima")</f>
        <v>Prima</v>
      </c>
      <c r="V166" s="6" t="str">
        <f>IFERROR(__xludf.DUMMYFUNCTION("""COMPUTED_VALUE"""),"Jacket")</f>
        <v>Jacket</v>
      </c>
      <c r="W166" s="6">
        <f>IFERROR(__xludf.DUMMYFUNCTION("""COMPUTED_VALUE"""),3.0)</f>
        <v>3</v>
      </c>
      <c r="X166" s="6" t="str">
        <f>IFERROR(__xludf.DUMMYFUNCTION("""COMPUTED_VALUE"""),"GRE")</f>
        <v>GRE</v>
      </c>
      <c r="Y166" s="6" t="s">
        <v>952</v>
      </c>
    </row>
    <row r="167">
      <c r="S167" s="6" t="str">
        <f>IFERROR(__xludf.DUMMYFUNCTION("""COMPUTED_VALUE"""),"PRD-200826-000019")</f>
        <v>PRD-200826-000019</v>
      </c>
      <c r="T167" s="6" t="str">
        <f>IFERROR(__xludf.DUMMYFUNCTION("""COMPUTED_VALUE"""),"20/08/2026 14:56")</f>
        <v>20/08/2026 14:56</v>
      </c>
      <c r="U167" s="6" t="str">
        <f>IFERROR(__xludf.DUMMYFUNCTION("""COMPUTED_VALUE"""),"Prima")</f>
        <v>Prima</v>
      </c>
      <c r="V167" s="6" t="str">
        <f>IFERROR(__xludf.DUMMYFUNCTION("""COMPUTED_VALUE"""),"Blouse")</f>
        <v>Blouse</v>
      </c>
      <c r="W167" s="6">
        <f>IFERROR(__xludf.DUMMYFUNCTION("""COMPUTED_VALUE"""),3.0)</f>
        <v>3</v>
      </c>
      <c r="X167" s="6" t="str">
        <f>IFERROR(__xludf.DUMMYFUNCTION("""COMPUTED_VALUE"""),"Club")</f>
        <v>Club</v>
      </c>
      <c r="Y167" s="6" t="s">
        <v>952</v>
      </c>
    </row>
    <row r="168">
      <c r="S168" s="6" t="str">
        <f>IFERROR(__xludf.DUMMYFUNCTION("""COMPUTED_VALUE"""),"PRD-200826-000020")</f>
        <v>PRD-200826-000020</v>
      </c>
      <c r="T168" s="6" t="str">
        <f>IFERROR(__xludf.DUMMYFUNCTION("""COMPUTED_VALUE"""),"20/08/2026 14:56")</f>
        <v>20/08/2026 14:56</v>
      </c>
      <c r="U168" s="6" t="str">
        <f>IFERROR(__xludf.DUMMYFUNCTION("""COMPUTED_VALUE"""),"Prima")</f>
        <v>Prima</v>
      </c>
      <c r="V168" s="6" t="str">
        <f>IFERROR(__xludf.DUMMYFUNCTION("""COMPUTED_VALUE"""),"Dress")</f>
        <v>Dress</v>
      </c>
      <c r="W168" s="6">
        <f>IFERROR(__xludf.DUMMYFUNCTION("""COMPUTED_VALUE"""),3.0)</f>
        <v>3</v>
      </c>
      <c r="X168" s="6" t="str">
        <f>IFERROR(__xludf.DUMMYFUNCTION("""COMPUTED_VALUE"""),"Club")</f>
        <v>Club</v>
      </c>
      <c r="Y168" s="6" t="s">
        <v>952</v>
      </c>
    </row>
    <row r="169">
      <c r="S169" s="6" t="str">
        <f>IFERROR(__xludf.DUMMYFUNCTION("""COMPUTED_VALUE"""),"PRD-200826-000021")</f>
        <v>PRD-200826-000021</v>
      </c>
      <c r="T169" s="6" t="str">
        <f>IFERROR(__xludf.DUMMYFUNCTION("""COMPUTED_VALUE"""),"20/08/2026 14:57")</f>
        <v>20/08/2026 14:57</v>
      </c>
      <c r="U169" s="6" t="str">
        <f>IFERROR(__xludf.DUMMYFUNCTION("""COMPUTED_VALUE"""),"Prima")</f>
        <v>Prima</v>
      </c>
      <c r="V169" s="6" t="str">
        <f>IFERROR(__xludf.DUMMYFUNCTION("""COMPUTED_VALUE"""),"Trousers")</f>
        <v>Trousers</v>
      </c>
      <c r="W169" s="6">
        <f>IFERROR(__xludf.DUMMYFUNCTION("""COMPUTED_VALUE"""),1.0)</f>
        <v>1</v>
      </c>
      <c r="X169" s="6" t="str">
        <f>IFERROR(__xludf.DUMMYFUNCTION("""COMPUTED_VALUE"""),"GSC")</f>
        <v>GSC</v>
      </c>
      <c r="Y169" s="6" t="s">
        <v>952</v>
      </c>
    </row>
    <row r="170">
      <c r="S170" s="6" t="str">
        <f>IFERROR(__xludf.DUMMYFUNCTION("""COMPUTED_VALUE"""),"PRD-200826-000022")</f>
        <v>PRD-200826-000022</v>
      </c>
      <c r="T170" s="6" t="str">
        <f>IFERROR(__xludf.DUMMYFUNCTION("""COMPUTED_VALUE"""),"20/08/2026 14:57")</f>
        <v>20/08/2026 14:57</v>
      </c>
      <c r="U170" s="6" t="str">
        <f>IFERROR(__xludf.DUMMYFUNCTION("""COMPUTED_VALUE"""),"Prima")</f>
        <v>Prima</v>
      </c>
      <c r="V170" s="6" t="str">
        <f>IFERROR(__xludf.DUMMYFUNCTION("""COMPUTED_VALUE"""),"Jacket")</f>
        <v>Jacket</v>
      </c>
      <c r="W170" s="6">
        <f>IFERROR(__xludf.DUMMYFUNCTION("""COMPUTED_VALUE"""),1.0)</f>
        <v>1</v>
      </c>
      <c r="X170" s="6" t="str">
        <f>IFERROR(__xludf.DUMMYFUNCTION("""COMPUTED_VALUE"""),"GSC")</f>
        <v>GSC</v>
      </c>
      <c r="Y170" s="6" t="s">
        <v>952</v>
      </c>
    </row>
    <row r="171">
      <c r="S171" s="6" t="str">
        <f>IFERROR(__xludf.DUMMYFUNCTION("""COMPUTED_VALUE"""),"PRD-200826-000023")</f>
        <v>PRD-200826-000023</v>
      </c>
      <c r="T171" s="6" t="str">
        <f>IFERROR(__xludf.DUMMYFUNCTION("""COMPUTED_VALUE"""),"20/08/2026 14:57")</f>
        <v>20/08/2026 14:57</v>
      </c>
      <c r="U171" s="6" t="str">
        <f>IFERROR(__xludf.DUMMYFUNCTION("""COMPUTED_VALUE"""),"Prima")</f>
        <v>Prima</v>
      </c>
      <c r="V171" s="6" t="str">
        <f>IFERROR(__xludf.DUMMYFUNCTION("""COMPUTED_VALUE"""),"Shirt")</f>
        <v>Shirt</v>
      </c>
      <c r="W171" s="6">
        <f>IFERROR(__xludf.DUMMYFUNCTION("""COMPUTED_VALUE"""),1.0)</f>
        <v>1</v>
      </c>
      <c r="X171" s="6" t="str">
        <f>IFERROR(__xludf.DUMMYFUNCTION("""COMPUTED_VALUE"""),"Security")</f>
        <v>Security</v>
      </c>
      <c r="Y171" s="6" t="s">
        <v>952</v>
      </c>
    </row>
    <row r="172">
      <c r="S172" s="6" t="str">
        <f>IFERROR(__xludf.DUMMYFUNCTION("""COMPUTED_VALUE"""),"PRD-200826-000024")</f>
        <v>PRD-200826-000024</v>
      </c>
      <c r="T172" s="6" t="str">
        <f>IFERROR(__xludf.DUMMYFUNCTION("""COMPUTED_VALUE"""),"20/08/2026 14:58")</f>
        <v>20/08/2026 14:58</v>
      </c>
      <c r="U172" s="6" t="str">
        <f>IFERROR(__xludf.DUMMYFUNCTION("""COMPUTED_VALUE"""),"Prima")</f>
        <v>Prima</v>
      </c>
      <c r="V172" s="6" t="str">
        <f>IFERROR(__xludf.DUMMYFUNCTION("""COMPUTED_VALUE"""),"Trousers")</f>
        <v>Trousers</v>
      </c>
      <c r="W172" s="6">
        <f>IFERROR(__xludf.DUMMYFUNCTION("""COMPUTED_VALUE"""),3.0)</f>
        <v>3</v>
      </c>
      <c r="X172" s="6" t="str">
        <f>IFERROR(__xludf.DUMMYFUNCTION("""COMPUTED_VALUE"""),"IRD")</f>
        <v>IRD</v>
      </c>
      <c r="Y172" s="6" t="s">
        <v>952</v>
      </c>
    </row>
    <row r="173">
      <c r="S173" s="6" t="str">
        <f>IFERROR(__xludf.DUMMYFUNCTION("""COMPUTED_VALUE"""),"PRD-200826-000025")</f>
        <v>PRD-200826-000025</v>
      </c>
      <c r="T173" s="6" t="str">
        <f>IFERROR(__xludf.DUMMYFUNCTION("""COMPUTED_VALUE"""),"20/08/2026 14:58")</f>
        <v>20/08/2026 14:58</v>
      </c>
      <c r="U173" s="6" t="str">
        <f>IFERROR(__xludf.DUMMYFUNCTION("""COMPUTED_VALUE"""),"Prima")</f>
        <v>Prima</v>
      </c>
      <c r="V173" s="6" t="str">
        <f>IFERROR(__xludf.DUMMYFUNCTION("""COMPUTED_VALUE"""),"Skirt")</f>
        <v>Skirt</v>
      </c>
      <c r="W173" s="6">
        <f>IFERROR(__xludf.DUMMYFUNCTION("""COMPUTED_VALUE"""),1.0)</f>
        <v>1</v>
      </c>
      <c r="X173" s="6" t="str">
        <f>IFERROR(__xludf.DUMMYFUNCTION("""COMPUTED_VALUE"""),"IRD")</f>
        <v>IRD</v>
      </c>
      <c r="Y173" s="6" t="s">
        <v>952</v>
      </c>
    </row>
    <row r="174">
      <c r="S174" s="6" t="str">
        <f>IFERROR(__xludf.DUMMYFUNCTION("""COMPUTED_VALUE"""),"PRD-200826-000026")</f>
        <v>PRD-200826-000026</v>
      </c>
      <c r="T174" s="6" t="str">
        <f>IFERROR(__xludf.DUMMYFUNCTION("""COMPUTED_VALUE"""),"20/08/2026 14:58")</f>
        <v>20/08/2026 14:58</v>
      </c>
      <c r="U174" s="6" t="str">
        <f>IFERROR(__xludf.DUMMYFUNCTION("""COMPUTED_VALUE"""),"Prima")</f>
        <v>Prima</v>
      </c>
      <c r="V174" s="6" t="str">
        <f>IFERROR(__xludf.DUMMYFUNCTION("""COMPUTED_VALUE"""),"Shirt")</f>
        <v>Shirt</v>
      </c>
      <c r="W174" s="6">
        <f>IFERROR(__xludf.DUMMYFUNCTION("""COMPUTED_VALUE"""),3.0)</f>
        <v>3</v>
      </c>
      <c r="X174" s="6" t="str">
        <f>IFERROR(__xludf.DUMMYFUNCTION("""COMPUTED_VALUE"""),"IRD")</f>
        <v>IRD</v>
      </c>
      <c r="Y174" s="6" t="s">
        <v>952</v>
      </c>
    </row>
    <row r="175">
      <c r="S175" s="6" t="str">
        <f>IFERROR(__xludf.DUMMYFUNCTION("""COMPUTED_VALUE"""),"PRD-200826-000027")</f>
        <v>PRD-200826-000027</v>
      </c>
      <c r="T175" s="6" t="str">
        <f>IFERROR(__xludf.DUMMYFUNCTION("""COMPUTED_VALUE"""),"20/08/2026 14:58")</f>
        <v>20/08/2026 14:58</v>
      </c>
      <c r="U175" s="6" t="str">
        <f>IFERROR(__xludf.DUMMYFUNCTION("""COMPUTED_VALUE"""),"Prima")</f>
        <v>Prima</v>
      </c>
      <c r="V175" s="6" t="str">
        <f>IFERROR(__xludf.DUMMYFUNCTION("""COMPUTED_VALUE"""),"Blouse")</f>
        <v>Blouse</v>
      </c>
      <c r="W175" s="6">
        <f>IFERROR(__xludf.DUMMYFUNCTION("""COMPUTED_VALUE"""),2.0)</f>
        <v>2</v>
      </c>
      <c r="X175" s="6" t="str">
        <f>IFERROR(__xludf.DUMMYFUNCTION("""COMPUTED_VALUE"""),"IRD")</f>
        <v>IRD</v>
      </c>
      <c r="Y175" s="6" t="s">
        <v>952</v>
      </c>
    </row>
    <row r="176">
      <c r="S176" s="6" t="str">
        <f>IFERROR(__xludf.DUMMYFUNCTION("""COMPUTED_VALUE"""),"PRD-200826-000028")</f>
        <v>PRD-200826-000028</v>
      </c>
      <c r="T176" s="6" t="str">
        <f>IFERROR(__xludf.DUMMYFUNCTION("""COMPUTED_VALUE"""),"20/08/2026 14:58")</f>
        <v>20/08/2026 14:58</v>
      </c>
      <c r="U176" s="6" t="str">
        <f>IFERROR(__xludf.DUMMYFUNCTION("""COMPUTED_VALUE"""),"Prima")</f>
        <v>Prima</v>
      </c>
      <c r="V176" s="6" t="str">
        <f>IFERROR(__xludf.DUMMYFUNCTION("""COMPUTED_VALUE"""),"Jacket")</f>
        <v>Jacket</v>
      </c>
      <c r="W176" s="6">
        <f>IFERROR(__xludf.DUMMYFUNCTION("""COMPUTED_VALUE"""),1.0)</f>
        <v>1</v>
      </c>
      <c r="X176" s="6" t="str">
        <f>IFERROR(__xludf.DUMMYFUNCTION("""COMPUTED_VALUE"""),"IRD")</f>
        <v>IRD</v>
      </c>
      <c r="Y176" s="6" t="s">
        <v>952</v>
      </c>
    </row>
    <row r="177">
      <c r="S177" s="6" t="str">
        <f>IFERROR(__xludf.DUMMYFUNCTION("""COMPUTED_VALUE"""),"PRD-200826-000029")</f>
        <v>PRD-200826-000029</v>
      </c>
      <c r="T177" s="6" t="str">
        <f>IFERROR(__xludf.DUMMYFUNCTION("""COMPUTED_VALUE"""),"20/08/2026 14:58")</f>
        <v>20/08/2026 14:58</v>
      </c>
      <c r="U177" s="6" t="str">
        <f>IFERROR(__xludf.DUMMYFUNCTION("""COMPUTED_VALUE"""),"Prima")</f>
        <v>Prima</v>
      </c>
      <c r="V177" s="6" t="str">
        <f>IFERROR(__xludf.DUMMYFUNCTION("""COMPUTED_VALUE"""),"Vest")</f>
        <v>Vest</v>
      </c>
      <c r="W177" s="6">
        <f>IFERROR(__xludf.DUMMYFUNCTION("""COMPUTED_VALUE"""),1.0)</f>
        <v>1</v>
      </c>
      <c r="X177" s="6" t="str">
        <f>IFERROR(__xludf.DUMMYFUNCTION("""COMPUTED_VALUE"""),"IRD")</f>
        <v>IRD</v>
      </c>
      <c r="Y177" s="6" t="s">
        <v>952</v>
      </c>
    </row>
    <row r="178">
      <c r="S178" s="6" t="str">
        <f>IFERROR(__xludf.DUMMYFUNCTION("""COMPUTED_VALUE"""),"PRD-200826-000030")</f>
        <v>PRD-200826-000030</v>
      </c>
      <c r="T178" s="6" t="str">
        <f>IFERROR(__xludf.DUMMYFUNCTION("""COMPUTED_VALUE"""),"20/08/2026 15:01")</f>
        <v>20/08/2026 15:01</v>
      </c>
      <c r="U178" s="6" t="str">
        <f>IFERROR(__xludf.DUMMYFUNCTION("""COMPUTED_VALUE"""),"Prima")</f>
        <v>Prima</v>
      </c>
      <c r="V178" s="6" t="str">
        <f>IFERROR(__xludf.DUMMYFUNCTION("""COMPUTED_VALUE"""),"Trousers")</f>
        <v>Trousers</v>
      </c>
      <c r="W178" s="6">
        <f>IFERROR(__xludf.DUMMYFUNCTION("""COMPUTED_VALUE"""),4.0)</f>
        <v>4</v>
      </c>
      <c r="X178" s="6" t="str">
        <f>IFERROR(__xludf.DUMMYFUNCTION("""COMPUTED_VALUE"""),"Cinnamon")</f>
        <v>Cinnamon</v>
      </c>
      <c r="Y178" s="6" t="s">
        <v>952</v>
      </c>
    </row>
    <row r="179">
      <c r="S179" s="6" t="str">
        <f>IFERROR(__xludf.DUMMYFUNCTION("""COMPUTED_VALUE"""),"PRD-200826-000031")</f>
        <v>PRD-200826-000031</v>
      </c>
      <c r="T179" s="6" t="str">
        <f>IFERROR(__xludf.DUMMYFUNCTION("""COMPUTED_VALUE"""),"20/08/2026 15:01")</f>
        <v>20/08/2026 15:01</v>
      </c>
      <c r="U179" s="6" t="str">
        <f>IFERROR(__xludf.DUMMYFUNCTION("""COMPUTED_VALUE"""),"Prima")</f>
        <v>Prima</v>
      </c>
      <c r="V179" s="6" t="str">
        <f>IFERROR(__xludf.DUMMYFUNCTION("""COMPUTED_VALUE"""),"Shirt")</f>
        <v>Shirt</v>
      </c>
      <c r="W179" s="6">
        <f>IFERROR(__xludf.DUMMYFUNCTION("""COMPUTED_VALUE"""),4.0)</f>
        <v>4</v>
      </c>
      <c r="X179" s="6" t="str">
        <f>IFERROR(__xludf.DUMMYFUNCTION("""COMPUTED_VALUE"""),"Cinnamon")</f>
        <v>Cinnamon</v>
      </c>
      <c r="Y179" s="6" t="s">
        <v>952</v>
      </c>
    </row>
    <row r="180">
      <c r="S180" s="6" t="str">
        <f>IFERROR(__xludf.DUMMYFUNCTION("""COMPUTED_VALUE"""),"PRD-200826-000032")</f>
        <v>PRD-200826-000032</v>
      </c>
      <c r="T180" s="6" t="str">
        <f>IFERROR(__xludf.DUMMYFUNCTION("""COMPUTED_VALUE"""),"20/08/2026 15:01")</f>
        <v>20/08/2026 15:01</v>
      </c>
      <c r="U180" s="6" t="str">
        <f>IFERROR(__xludf.DUMMYFUNCTION("""COMPUTED_VALUE"""),"Prima")</f>
        <v>Prima</v>
      </c>
      <c r="V180" s="6" t="str">
        <f>IFERROR(__xludf.DUMMYFUNCTION("""COMPUTED_VALUE"""),"Blouse")</f>
        <v>Blouse</v>
      </c>
      <c r="W180" s="6">
        <f>IFERROR(__xludf.DUMMYFUNCTION("""COMPUTED_VALUE"""),8.0)</f>
        <v>8</v>
      </c>
      <c r="X180" s="6" t="str">
        <f>IFERROR(__xludf.DUMMYFUNCTION("""COMPUTED_VALUE"""),"Cinnamon")</f>
        <v>Cinnamon</v>
      </c>
      <c r="Y180" s="6" t="s">
        <v>952</v>
      </c>
    </row>
    <row r="181">
      <c r="S181" s="6" t="str">
        <f>IFERROR(__xludf.DUMMYFUNCTION("""COMPUTED_VALUE"""),"PRD-200826-000033")</f>
        <v>PRD-200826-000033</v>
      </c>
      <c r="T181" s="6" t="str">
        <f>IFERROR(__xludf.DUMMYFUNCTION("""COMPUTED_VALUE"""),"20/08/2026 15:01")</f>
        <v>20/08/2026 15:01</v>
      </c>
      <c r="U181" s="6" t="str">
        <f>IFERROR(__xludf.DUMMYFUNCTION("""COMPUTED_VALUE"""),"Prima")</f>
        <v>Prima</v>
      </c>
      <c r="V181" s="6" t="str">
        <f>IFERROR(__xludf.DUMMYFUNCTION("""COMPUTED_VALUE"""),"Vest")</f>
        <v>Vest</v>
      </c>
      <c r="W181" s="6">
        <f>IFERROR(__xludf.DUMMYFUNCTION("""COMPUTED_VALUE"""),4.0)</f>
        <v>4</v>
      </c>
      <c r="X181" s="6" t="str">
        <f>IFERROR(__xludf.DUMMYFUNCTION("""COMPUTED_VALUE"""),"Cinnamon")</f>
        <v>Cinnamon</v>
      </c>
      <c r="Y181" s="6" t="s">
        <v>952</v>
      </c>
    </row>
    <row r="182">
      <c r="S182" s="6" t="str">
        <f>IFERROR(__xludf.DUMMYFUNCTION("""COMPUTED_VALUE"""),"PRD-200826-000034")</f>
        <v>PRD-200826-000034</v>
      </c>
      <c r="T182" s="6" t="str">
        <f>IFERROR(__xludf.DUMMYFUNCTION("""COMPUTED_VALUE"""),"20/08/2026 15:02")</f>
        <v>20/08/2026 15:02</v>
      </c>
      <c r="U182" s="6" t="str">
        <f>IFERROR(__xludf.DUMMYFUNCTION("""COMPUTED_VALUE"""),"Prima")</f>
        <v>Prima</v>
      </c>
      <c r="V182" s="6" t="str">
        <f>IFERROR(__xludf.DUMMYFUNCTION("""COMPUTED_VALUE"""),"Trousers")</f>
        <v>Trousers</v>
      </c>
      <c r="W182" s="6">
        <f>IFERROR(__xludf.DUMMYFUNCTION("""COMPUTED_VALUE"""),1.0)</f>
        <v>1</v>
      </c>
      <c r="X182" s="6" t="str">
        <f>IFERROR(__xludf.DUMMYFUNCTION("""COMPUTED_VALUE"""),"LiFeng")</f>
        <v>LiFeng</v>
      </c>
      <c r="Y182" s="6" t="s">
        <v>952</v>
      </c>
    </row>
    <row r="183">
      <c r="S183" s="6" t="str">
        <f>IFERROR(__xludf.DUMMYFUNCTION("""COMPUTED_VALUE"""),"PRD-200826-000035")</f>
        <v>PRD-200826-000035</v>
      </c>
      <c r="T183" s="6" t="str">
        <f>IFERROR(__xludf.DUMMYFUNCTION("""COMPUTED_VALUE"""),"20/08/2026 15:02")</f>
        <v>20/08/2026 15:02</v>
      </c>
      <c r="U183" s="6" t="str">
        <f>IFERROR(__xludf.DUMMYFUNCTION("""COMPUTED_VALUE"""),"Prima")</f>
        <v>Prima</v>
      </c>
      <c r="V183" s="6" t="str">
        <f>IFERROR(__xludf.DUMMYFUNCTION("""COMPUTED_VALUE"""),"Blouse")</f>
        <v>Blouse</v>
      </c>
      <c r="W183" s="6">
        <f>IFERROR(__xludf.DUMMYFUNCTION("""COMPUTED_VALUE"""),1.0)</f>
        <v>1</v>
      </c>
      <c r="X183" s="6" t="str">
        <f>IFERROR(__xludf.DUMMYFUNCTION("""COMPUTED_VALUE"""),"LiFeng")</f>
        <v>LiFeng</v>
      </c>
      <c r="Y183" s="6" t="s">
        <v>952</v>
      </c>
    </row>
    <row r="184">
      <c r="S184" s="6" t="str">
        <f>IFERROR(__xludf.DUMMYFUNCTION("""COMPUTED_VALUE"""),"PRD-200826-000036")</f>
        <v>PRD-200826-000036</v>
      </c>
      <c r="T184" s="6" t="str">
        <f>IFERROR(__xludf.DUMMYFUNCTION("""COMPUTED_VALUE"""),"20/08/2026 15:02")</f>
        <v>20/08/2026 15:02</v>
      </c>
      <c r="U184" s="6" t="str">
        <f>IFERROR(__xludf.DUMMYFUNCTION("""COMPUTED_VALUE"""),"Prima")</f>
        <v>Prima</v>
      </c>
      <c r="V184" s="6" t="str">
        <f>IFERROR(__xludf.DUMMYFUNCTION("""COMPUTED_VALUE"""),"Jacket")</f>
        <v>Jacket</v>
      </c>
      <c r="W184" s="6">
        <f>IFERROR(__xludf.DUMMYFUNCTION("""COMPUTED_VALUE"""),1.0)</f>
        <v>1</v>
      </c>
      <c r="X184" s="6" t="str">
        <f>IFERROR(__xludf.DUMMYFUNCTION("""COMPUTED_VALUE"""),"LiFeng")</f>
        <v>LiFeng</v>
      </c>
      <c r="Y184" s="6" t="s">
        <v>952</v>
      </c>
    </row>
    <row r="185">
      <c r="S185" s="6" t="str">
        <f>IFERROR(__xludf.DUMMYFUNCTION("""COMPUTED_VALUE"""),"PRD-200826-000037")</f>
        <v>PRD-200826-000037</v>
      </c>
      <c r="T185" s="6" t="str">
        <f>IFERROR(__xludf.DUMMYFUNCTION("""COMPUTED_VALUE"""),"20/08/2026 15:02")</f>
        <v>20/08/2026 15:02</v>
      </c>
      <c r="U185" s="6" t="str">
        <f>IFERROR(__xludf.DUMMYFUNCTION("""COMPUTED_VALUE"""),"Prima")</f>
        <v>Prima</v>
      </c>
      <c r="V185" s="6" t="str">
        <f>IFERROR(__xludf.DUMMYFUNCTION("""COMPUTED_VALUE"""),"Dress")</f>
        <v>Dress</v>
      </c>
      <c r="W185" s="6">
        <f>IFERROR(__xludf.DUMMYFUNCTION("""COMPUTED_VALUE"""),4.0)</f>
        <v>4</v>
      </c>
      <c r="X185" s="6" t="str">
        <f>IFERROR(__xludf.DUMMYFUNCTION("""COMPUTED_VALUE"""),"LiFeng")</f>
        <v>LiFeng</v>
      </c>
      <c r="Y185" s="6" t="s">
        <v>952</v>
      </c>
    </row>
    <row r="186">
      <c r="S186" s="6" t="str">
        <f>IFERROR(__xludf.DUMMYFUNCTION("""COMPUTED_VALUE"""),"PRD-200826-000038")</f>
        <v>PRD-200826-000038</v>
      </c>
      <c r="T186" s="6" t="str">
        <f>IFERROR(__xludf.DUMMYFUNCTION("""COMPUTED_VALUE"""),"20/08/2026 15:04")</f>
        <v>20/08/2026 15:04</v>
      </c>
      <c r="U186" s="6" t="str">
        <f>IFERROR(__xludf.DUMMYFUNCTION("""COMPUTED_VALUE"""),"Prima")</f>
        <v>Prima</v>
      </c>
      <c r="V186" s="6" t="str">
        <f>IFERROR(__xludf.DUMMYFUNCTION("""COMPUTED_VALUE"""),"Trousers")</f>
        <v>Trousers</v>
      </c>
      <c r="W186" s="6">
        <f>IFERROR(__xludf.DUMMYFUNCTION("""COMPUTED_VALUE"""),10.0)</f>
        <v>10</v>
      </c>
      <c r="X186" s="6" t="str">
        <f>IFERROR(__xludf.DUMMYFUNCTION("""COMPUTED_VALUE"""),"Banquet")</f>
        <v>Banquet</v>
      </c>
      <c r="Y186" s="6" t="s">
        <v>952</v>
      </c>
    </row>
    <row r="187">
      <c r="S187" s="6" t="str">
        <f>IFERROR(__xludf.DUMMYFUNCTION("""COMPUTED_VALUE"""),"PRD-200826-000039")</f>
        <v>PRD-200826-000039</v>
      </c>
      <c r="T187" s="6" t="str">
        <f>IFERROR(__xludf.DUMMYFUNCTION("""COMPUTED_VALUE"""),"20/08/2026 15:04")</f>
        <v>20/08/2026 15:04</v>
      </c>
      <c r="U187" s="6" t="str">
        <f>IFERROR(__xludf.DUMMYFUNCTION("""COMPUTED_VALUE"""),"Prima")</f>
        <v>Prima</v>
      </c>
      <c r="V187" s="6" t="str">
        <f>IFERROR(__xludf.DUMMYFUNCTION("""COMPUTED_VALUE"""),"Shirt")</f>
        <v>Shirt</v>
      </c>
      <c r="W187" s="6">
        <f>IFERROR(__xludf.DUMMYFUNCTION("""COMPUTED_VALUE"""),17.0)</f>
        <v>17</v>
      </c>
      <c r="X187" s="6" t="str">
        <f>IFERROR(__xludf.DUMMYFUNCTION("""COMPUTED_VALUE"""),"Banquet")</f>
        <v>Banquet</v>
      </c>
      <c r="Y187" s="6" t="s">
        <v>952</v>
      </c>
    </row>
    <row r="188">
      <c r="S188" s="6" t="str">
        <f>IFERROR(__xludf.DUMMYFUNCTION("""COMPUTED_VALUE"""),"PRD-200826-000040")</f>
        <v>PRD-200826-000040</v>
      </c>
      <c r="T188" s="6" t="str">
        <f>IFERROR(__xludf.DUMMYFUNCTION("""COMPUTED_VALUE"""),"20/08/2026 15:05")</f>
        <v>20/08/2026 15:05</v>
      </c>
      <c r="U188" s="6" t="str">
        <f>IFERROR(__xludf.DUMMYFUNCTION("""COMPUTED_VALUE"""),"Prima")</f>
        <v>Prima</v>
      </c>
      <c r="V188" s="6" t="str">
        <f>IFERROR(__xludf.DUMMYFUNCTION("""COMPUTED_VALUE"""),"Trousers")</f>
        <v>Trousers</v>
      </c>
      <c r="W188" s="6">
        <f>IFERROR(__xludf.DUMMYFUNCTION("""COMPUTED_VALUE"""),10.0)</f>
        <v>10</v>
      </c>
      <c r="X188" s="6" t="str">
        <f>IFERROR(__xludf.DUMMYFUNCTION("""COMPUTED_VALUE"""),"Banquet")</f>
        <v>Banquet</v>
      </c>
      <c r="Y188" s="6" t="s">
        <v>952</v>
      </c>
    </row>
    <row r="189">
      <c r="S189" s="6" t="str">
        <f>IFERROR(__xludf.DUMMYFUNCTION("""COMPUTED_VALUE"""),"PRD-200826-000041")</f>
        <v>PRD-200826-000041</v>
      </c>
      <c r="T189" s="6" t="str">
        <f>IFERROR(__xludf.DUMMYFUNCTION("""COMPUTED_VALUE"""),"20/08/2026 15:05")</f>
        <v>20/08/2026 15:05</v>
      </c>
      <c r="U189" s="6" t="str">
        <f>IFERROR(__xludf.DUMMYFUNCTION("""COMPUTED_VALUE"""),"Prima")</f>
        <v>Prima</v>
      </c>
      <c r="V189" s="6" t="str">
        <f>IFERROR(__xludf.DUMMYFUNCTION("""COMPUTED_VALUE"""),"Shirt")</f>
        <v>Shirt</v>
      </c>
      <c r="W189" s="6">
        <f>IFERROR(__xludf.DUMMYFUNCTION("""COMPUTED_VALUE"""),17.0)</f>
        <v>17</v>
      </c>
      <c r="X189" s="6" t="str">
        <f>IFERROR(__xludf.DUMMYFUNCTION("""COMPUTED_VALUE"""),"Banquet")</f>
        <v>Banquet</v>
      </c>
      <c r="Y189" s="6" t="s">
        <v>952</v>
      </c>
    </row>
    <row r="190">
      <c r="S190" s="6" t="str">
        <f>IFERROR(__xludf.DUMMYFUNCTION("""COMPUTED_VALUE"""),"PRD-200826-000042")</f>
        <v>PRD-200826-000042</v>
      </c>
      <c r="T190" s="6" t="str">
        <f>IFERROR(__xludf.DUMMYFUNCTION("""COMPUTED_VALUE"""),"20/08/2026 15:09")</f>
        <v>20/08/2026 15:09</v>
      </c>
      <c r="U190" s="6" t="str">
        <f>IFERROR(__xludf.DUMMYFUNCTION("""COMPUTED_VALUE"""),"Prima")</f>
        <v>Prima</v>
      </c>
      <c r="V190" s="6" t="str">
        <f>IFERROR(__xludf.DUMMYFUNCTION("""COMPUTED_VALUE"""),"Trousers")</f>
        <v>Trousers</v>
      </c>
      <c r="W190" s="6">
        <f>IFERROR(__xludf.DUMMYFUNCTION("""COMPUTED_VALUE"""),63.0)</f>
        <v>63</v>
      </c>
      <c r="X190" s="6" t="str">
        <f>IFERROR(__xludf.DUMMYFUNCTION("""COMPUTED_VALUE"""),"Kitchen / Culinary")</f>
        <v>Kitchen / Culinary</v>
      </c>
      <c r="Y190" s="6" t="s">
        <v>952</v>
      </c>
    </row>
    <row r="191">
      <c r="S191" s="6" t="str">
        <f>IFERROR(__xludf.DUMMYFUNCTION("""COMPUTED_VALUE"""),"PRD-200826-000043")</f>
        <v>PRD-200826-000043</v>
      </c>
      <c r="T191" s="6" t="str">
        <f>IFERROR(__xludf.DUMMYFUNCTION("""COMPUTED_VALUE"""),"20/08/2026 15:09")</f>
        <v>20/08/2026 15:09</v>
      </c>
      <c r="U191" s="6" t="str">
        <f>IFERROR(__xludf.DUMMYFUNCTION("""COMPUTED_VALUE"""),"Prima")</f>
        <v>Prima</v>
      </c>
      <c r="V191" s="6" t="str">
        <f>IFERROR(__xludf.DUMMYFUNCTION("""COMPUTED_VALUE"""),"Cook Jacket")</f>
        <v>Cook Jacket</v>
      </c>
      <c r="W191" s="6">
        <f>IFERROR(__xludf.DUMMYFUNCTION("""COMPUTED_VALUE"""),58.0)</f>
        <v>58</v>
      </c>
      <c r="X191" s="6" t="str">
        <f>IFERROR(__xludf.DUMMYFUNCTION("""COMPUTED_VALUE"""),"Kitchen / Culinary")</f>
        <v>Kitchen / Culinary</v>
      </c>
      <c r="Y191" s="6" t="s">
        <v>952</v>
      </c>
    </row>
    <row r="192">
      <c r="S192" s="6" t="str">
        <f>IFERROR(__xludf.DUMMYFUNCTION("""COMPUTED_VALUE"""),"PRD-200826-000044")</f>
        <v>PRD-200826-000044</v>
      </c>
      <c r="T192" s="6" t="str">
        <f>IFERROR(__xludf.DUMMYFUNCTION("""COMPUTED_VALUE"""),"20/08/2026 15:09")</f>
        <v>20/08/2026 15:09</v>
      </c>
      <c r="U192" s="6" t="str">
        <f>IFERROR(__xludf.DUMMYFUNCTION("""COMPUTED_VALUE"""),"Prima")</f>
        <v>Prima</v>
      </c>
      <c r="V192" s="6" t="str">
        <f>IFERROR(__xludf.DUMMYFUNCTION("""COMPUTED_VALUE"""),"Apron")</f>
        <v>Apron</v>
      </c>
      <c r="W192" s="6">
        <f>IFERROR(__xludf.DUMMYFUNCTION("""COMPUTED_VALUE"""),53.0)</f>
        <v>53</v>
      </c>
      <c r="X192" s="6" t="str">
        <f>IFERROR(__xludf.DUMMYFUNCTION("""COMPUTED_VALUE"""),"Kitchen / Culinary")</f>
        <v>Kitchen / Culinary</v>
      </c>
      <c r="Y192" s="6" t="s">
        <v>952</v>
      </c>
    </row>
    <row r="193">
      <c r="S193" s="6" t="str">
        <f>IFERROR(__xludf.DUMMYFUNCTION("""COMPUTED_VALUE"""),"PRD-200826-000045")</f>
        <v>PRD-200826-000045</v>
      </c>
      <c r="T193" s="6" t="str">
        <f>IFERROR(__xludf.DUMMYFUNCTION("""COMPUTED_VALUE"""),"20/08/2026 15:09")</f>
        <v>20/08/2026 15:09</v>
      </c>
      <c r="U193" s="6" t="str">
        <f>IFERROR(__xludf.DUMMYFUNCTION("""COMPUTED_VALUE"""),"Prima")</f>
        <v>Prima</v>
      </c>
      <c r="V193" s="6" t="str">
        <f>IFERROR(__xludf.DUMMYFUNCTION("""COMPUTED_VALUE"""),"Trousers")</f>
        <v>Trousers</v>
      </c>
      <c r="W193" s="6">
        <f>IFERROR(__xludf.DUMMYFUNCTION("""COMPUTED_VALUE"""),4.0)</f>
        <v>4</v>
      </c>
      <c r="X193" s="6" t="str">
        <f>IFERROR(__xludf.DUMMYFUNCTION("""COMPUTED_VALUE"""),"Steward")</f>
        <v>Steward</v>
      </c>
      <c r="Y193" s="6" t="s">
        <v>952</v>
      </c>
    </row>
    <row r="194">
      <c r="S194" s="6" t="str">
        <f>IFERROR(__xludf.DUMMYFUNCTION("""COMPUTED_VALUE"""),"PRD-200826-000046")</f>
        <v>PRD-200826-000046</v>
      </c>
      <c r="T194" s="6" t="str">
        <f>IFERROR(__xludf.DUMMYFUNCTION("""COMPUTED_VALUE"""),"20/08/2026 15:09")</f>
        <v>20/08/2026 15:09</v>
      </c>
      <c r="U194" s="6" t="str">
        <f>IFERROR(__xludf.DUMMYFUNCTION("""COMPUTED_VALUE"""),"Prima")</f>
        <v>Prima</v>
      </c>
      <c r="V194" s="6" t="str">
        <f>IFERROR(__xludf.DUMMYFUNCTION("""COMPUTED_VALUE"""),"Polo Shirt")</f>
        <v>Polo Shirt</v>
      </c>
      <c r="W194" s="6">
        <f>IFERROR(__xludf.DUMMYFUNCTION("""COMPUTED_VALUE"""),13.0)</f>
        <v>13</v>
      </c>
      <c r="X194" s="6" t="str">
        <f>IFERROR(__xludf.DUMMYFUNCTION("""COMPUTED_VALUE"""),"Steward")</f>
        <v>Steward</v>
      </c>
      <c r="Y194" s="6" t="s">
        <v>952</v>
      </c>
    </row>
    <row r="195">
      <c r="S195" s="6" t="str">
        <f>IFERROR(__xludf.DUMMYFUNCTION("""COMPUTED_VALUE"""),"PRD-200826-000047")</f>
        <v>PRD-200826-000047</v>
      </c>
      <c r="T195" s="6" t="str">
        <f>IFERROR(__xludf.DUMMYFUNCTION("""COMPUTED_VALUE"""),"20/08/2026 15:10")</f>
        <v>20/08/2026 15:10</v>
      </c>
      <c r="U195" s="6" t="str">
        <f>IFERROR(__xludf.DUMMYFUNCTION("""COMPUTED_VALUE"""),"Prima")</f>
        <v>Prima</v>
      </c>
      <c r="V195" s="6" t="str">
        <f>IFERROR(__xludf.DUMMYFUNCTION("""COMPUTED_VALUE"""),"Trousers")</f>
        <v>Trousers</v>
      </c>
      <c r="W195" s="6">
        <f>IFERROR(__xludf.DUMMYFUNCTION("""COMPUTED_VALUE"""),7.0)</f>
        <v>7</v>
      </c>
      <c r="X195" s="6" t="str">
        <f>IFERROR(__xludf.DUMMYFUNCTION("""COMPUTED_VALUE"""),"Finance")</f>
        <v>Finance</v>
      </c>
      <c r="Y195" s="6" t="s">
        <v>952</v>
      </c>
    </row>
    <row r="196">
      <c r="S196" s="6" t="str">
        <f>IFERROR(__xludf.DUMMYFUNCTION("""COMPUTED_VALUE"""),"PRD-200826-000048")</f>
        <v>PRD-200826-000048</v>
      </c>
      <c r="T196" s="6" t="str">
        <f>IFERROR(__xludf.DUMMYFUNCTION("""COMPUTED_VALUE"""),"20/08/2026 15:10")</f>
        <v>20/08/2026 15:10</v>
      </c>
      <c r="U196" s="6" t="str">
        <f>IFERROR(__xludf.DUMMYFUNCTION("""COMPUTED_VALUE"""),"Prima")</f>
        <v>Prima</v>
      </c>
      <c r="V196" s="6" t="str">
        <f>IFERROR(__xludf.DUMMYFUNCTION("""COMPUTED_VALUE"""),"Shirt")</f>
        <v>Shirt</v>
      </c>
      <c r="W196" s="6">
        <f>IFERROR(__xludf.DUMMYFUNCTION("""COMPUTED_VALUE"""),7.0)</f>
        <v>7</v>
      </c>
      <c r="X196" s="6" t="str">
        <f>IFERROR(__xludf.DUMMYFUNCTION("""COMPUTED_VALUE"""),"Finance")</f>
        <v>Finance</v>
      </c>
      <c r="Y196" s="6" t="s">
        <v>952</v>
      </c>
    </row>
    <row r="197">
      <c r="S197" s="6" t="str">
        <f>IFERROR(__xludf.DUMMYFUNCTION("""COMPUTED_VALUE"""),"PRD-200826-000049")</f>
        <v>PRD-200826-000049</v>
      </c>
      <c r="T197" s="6" t="str">
        <f>IFERROR(__xludf.DUMMYFUNCTION("""COMPUTED_VALUE"""),"20/08/2026 15:10")</f>
        <v>20/08/2026 15:10</v>
      </c>
      <c r="U197" s="6" t="str">
        <f>IFERROR(__xludf.DUMMYFUNCTION("""COMPUTED_VALUE"""),"Prima")</f>
        <v>Prima</v>
      </c>
      <c r="V197" s="6" t="str">
        <f>IFERROR(__xludf.DUMMYFUNCTION("""COMPUTED_VALUE"""),"Blouse")</f>
        <v>Blouse</v>
      </c>
      <c r="W197" s="6">
        <f>IFERROR(__xludf.DUMMYFUNCTION("""COMPUTED_VALUE"""),4.0)</f>
        <v>4</v>
      </c>
      <c r="X197" s="6" t="str">
        <f>IFERROR(__xludf.DUMMYFUNCTION("""COMPUTED_VALUE"""),"Finance")</f>
        <v>Finance</v>
      </c>
      <c r="Y197" s="6" t="s">
        <v>952</v>
      </c>
    </row>
    <row r="198">
      <c r="S198" s="6" t="str">
        <f>IFERROR(__xludf.DUMMYFUNCTION("""COMPUTED_VALUE"""),"PRD-200826-000050")</f>
        <v>PRD-200826-000050</v>
      </c>
      <c r="T198" s="6" t="str">
        <f>IFERROR(__xludf.DUMMYFUNCTION("""COMPUTED_VALUE"""),"20/08/2026 15:10")</f>
        <v>20/08/2026 15:10</v>
      </c>
      <c r="U198" s="6" t="str">
        <f>IFERROR(__xludf.DUMMYFUNCTION("""COMPUTED_VALUE"""),"Prima")</f>
        <v>Prima</v>
      </c>
      <c r="V198" s="6" t="str">
        <f>IFERROR(__xludf.DUMMYFUNCTION("""COMPUTED_VALUE"""),"Jacket")</f>
        <v>Jacket</v>
      </c>
      <c r="W198" s="6">
        <f>IFERROR(__xludf.DUMMYFUNCTION("""COMPUTED_VALUE"""),2.0)</f>
        <v>2</v>
      </c>
      <c r="X198" s="6" t="str">
        <f>IFERROR(__xludf.DUMMYFUNCTION("""COMPUTED_VALUE"""),"Finance")</f>
        <v>Finance</v>
      </c>
      <c r="Y198" s="6" t="s">
        <v>952</v>
      </c>
    </row>
    <row r="199">
      <c r="S199" s="6" t="str">
        <f>IFERROR(__xludf.DUMMYFUNCTION("""COMPUTED_VALUE"""),"PRD-200826-000051")</f>
        <v>PRD-200826-000051</v>
      </c>
      <c r="T199" s="6" t="str">
        <f>IFERROR(__xludf.DUMMYFUNCTION("""COMPUTED_VALUE"""),"20/08/2026 15:12")</f>
        <v>20/08/2026 15:12</v>
      </c>
      <c r="U199" s="6" t="str">
        <f>IFERROR(__xludf.DUMMYFUNCTION("""COMPUTED_VALUE"""),"Prima")</f>
        <v>Prima</v>
      </c>
      <c r="V199" s="6" t="str">
        <f>IFERROR(__xludf.DUMMYFUNCTION("""COMPUTED_VALUE"""),"Trousers")</f>
        <v>Trousers</v>
      </c>
      <c r="W199" s="6">
        <f>IFERROR(__xludf.DUMMYFUNCTION("""COMPUTED_VALUE"""),24.0)</f>
        <v>24</v>
      </c>
      <c r="X199" s="6" t="str">
        <f>IFERROR(__xludf.DUMMYFUNCTION("""COMPUTED_VALUE"""),"Engineering")</f>
        <v>Engineering</v>
      </c>
      <c r="Y199" s="6" t="s">
        <v>952</v>
      </c>
    </row>
    <row r="200">
      <c r="S200" s="6" t="str">
        <f>IFERROR(__xludf.DUMMYFUNCTION("""COMPUTED_VALUE"""),"PRD-200826-000052")</f>
        <v>PRD-200826-000052</v>
      </c>
      <c r="T200" s="6" t="str">
        <f>IFERROR(__xludf.DUMMYFUNCTION("""COMPUTED_VALUE"""),"20/08/2026 15:12")</f>
        <v>20/08/2026 15:12</v>
      </c>
      <c r="U200" s="6" t="str">
        <f>IFERROR(__xludf.DUMMYFUNCTION("""COMPUTED_VALUE"""),"Prima")</f>
        <v>Prima</v>
      </c>
      <c r="V200" s="6" t="str">
        <f>IFERROR(__xludf.DUMMYFUNCTION("""COMPUTED_VALUE"""),"Shirt")</f>
        <v>Shirt</v>
      </c>
      <c r="W200" s="6">
        <f>IFERROR(__xludf.DUMMYFUNCTION("""COMPUTED_VALUE"""),24.0)</f>
        <v>24</v>
      </c>
      <c r="X200" s="6" t="str">
        <f>IFERROR(__xludf.DUMMYFUNCTION("""COMPUTED_VALUE"""),"Engineering")</f>
        <v>Engineering</v>
      </c>
      <c r="Y200" s="6" t="s">
        <v>952</v>
      </c>
    </row>
    <row r="201">
      <c r="S201" s="6" t="str">
        <f>IFERROR(__xludf.DUMMYFUNCTION("""COMPUTED_VALUE"""),"PRD-200826-000053")</f>
        <v>PRD-200826-000053</v>
      </c>
      <c r="T201" s="6" t="str">
        <f>IFERROR(__xludf.DUMMYFUNCTION("""COMPUTED_VALUE"""),"20/08/2026 15:13")</f>
        <v>20/08/2026 15:13</v>
      </c>
      <c r="U201" s="6" t="str">
        <f>IFERROR(__xludf.DUMMYFUNCTION("""COMPUTED_VALUE"""),"Prima")</f>
        <v>Prima</v>
      </c>
      <c r="V201" s="6" t="str">
        <f>IFERROR(__xludf.DUMMYFUNCTION("""COMPUTED_VALUE"""),"Trousers")</f>
        <v>Trousers</v>
      </c>
      <c r="W201" s="6">
        <f>IFERROR(__xludf.DUMMYFUNCTION("""COMPUTED_VALUE"""),2.0)</f>
        <v>2</v>
      </c>
      <c r="X201" s="6" t="str">
        <f>IFERROR(__xludf.DUMMYFUNCTION("""COMPUTED_VALUE"""),"P&amp;C")</f>
        <v>P&amp;C</v>
      </c>
      <c r="Y201" s="6" t="s">
        <v>952</v>
      </c>
    </row>
    <row r="202">
      <c r="S202" s="6" t="str">
        <f>IFERROR(__xludf.DUMMYFUNCTION("""COMPUTED_VALUE"""),"PRD-200826-000054")</f>
        <v>PRD-200826-000054</v>
      </c>
      <c r="T202" s="6" t="str">
        <f>IFERROR(__xludf.DUMMYFUNCTION("""COMPUTED_VALUE"""),"20/08/2026 15:13")</f>
        <v>20/08/2026 15:13</v>
      </c>
      <c r="U202" s="6" t="str">
        <f>IFERROR(__xludf.DUMMYFUNCTION("""COMPUTED_VALUE"""),"Prima")</f>
        <v>Prima</v>
      </c>
      <c r="V202" s="6" t="str">
        <f>IFERROR(__xludf.DUMMYFUNCTION("""COMPUTED_VALUE"""),"Blouse")</f>
        <v>Blouse</v>
      </c>
      <c r="W202" s="6">
        <f>IFERROR(__xludf.DUMMYFUNCTION("""COMPUTED_VALUE"""),1.0)</f>
        <v>1</v>
      </c>
      <c r="X202" s="6" t="str">
        <f>IFERROR(__xludf.DUMMYFUNCTION("""COMPUTED_VALUE"""),"P&amp;C")</f>
        <v>P&amp;C</v>
      </c>
      <c r="Y202" s="6" t="s">
        <v>952</v>
      </c>
    </row>
    <row r="203">
      <c r="S203" s="6" t="str">
        <f>IFERROR(__xludf.DUMMYFUNCTION("""COMPUTED_VALUE"""),"PRD-200826-000055")</f>
        <v>PRD-200826-000055</v>
      </c>
      <c r="T203" s="6" t="str">
        <f>IFERROR(__xludf.DUMMYFUNCTION("""COMPUTED_VALUE"""),"20/08/2026 15:13")</f>
        <v>20/08/2026 15:13</v>
      </c>
      <c r="U203" s="6" t="str">
        <f>IFERROR(__xludf.DUMMYFUNCTION("""COMPUTED_VALUE"""),"Prima")</f>
        <v>Prima</v>
      </c>
      <c r="V203" s="6" t="str">
        <f>IFERROR(__xludf.DUMMYFUNCTION("""COMPUTED_VALUE"""),"Jacket")</f>
        <v>Jacket</v>
      </c>
      <c r="W203" s="6">
        <f>IFERROR(__xludf.DUMMYFUNCTION("""COMPUTED_VALUE"""),1.0)</f>
        <v>1</v>
      </c>
      <c r="X203" s="6" t="str">
        <f>IFERROR(__xludf.DUMMYFUNCTION("""COMPUTED_VALUE"""),"P&amp;C")</f>
        <v>P&amp;C</v>
      </c>
      <c r="Y203" s="6" t="s">
        <v>952</v>
      </c>
    </row>
    <row r="204">
      <c r="S204" s="6" t="str">
        <f>IFERROR(__xludf.DUMMYFUNCTION("""COMPUTED_VALUE"""),"PRD-200826-000056")</f>
        <v>PRD-200826-000056</v>
      </c>
      <c r="T204" s="6" t="str">
        <f>IFERROR(__xludf.DUMMYFUNCTION("""COMPUTED_VALUE"""),"20/08/2026 15:14")</f>
        <v>20/08/2026 15:14</v>
      </c>
      <c r="U204" s="6" t="str">
        <f>IFERROR(__xludf.DUMMYFUNCTION("""COMPUTED_VALUE"""),"Prima")</f>
        <v>Prima</v>
      </c>
      <c r="V204" s="6" t="str">
        <f>IFERROR(__xludf.DUMMYFUNCTION("""COMPUTED_VALUE"""),"Trousers")</f>
        <v>Trousers</v>
      </c>
      <c r="W204" s="6">
        <f>IFERROR(__xludf.DUMMYFUNCTION("""COMPUTED_VALUE"""),3.0)</f>
        <v>3</v>
      </c>
      <c r="X204" s="6" t="str">
        <f>IFERROR(__xludf.DUMMYFUNCTION("""COMPUTED_VALUE"""),"Sales &amp; Executive")</f>
        <v>Sales &amp; Executive</v>
      </c>
      <c r="Y204" s="6" t="s">
        <v>952</v>
      </c>
    </row>
    <row r="205">
      <c r="S205" s="6" t="str">
        <f>IFERROR(__xludf.DUMMYFUNCTION("""COMPUTED_VALUE"""),"PRD-200826-000057")</f>
        <v>PRD-200826-000057</v>
      </c>
      <c r="T205" s="6" t="str">
        <f>IFERROR(__xludf.DUMMYFUNCTION("""COMPUTED_VALUE"""),"20/08/2026 15:14")</f>
        <v>20/08/2026 15:14</v>
      </c>
      <c r="U205" s="6" t="str">
        <f>IFERROR(__xludf.DUMMYFUNCTION("""COMPUTED_VALUE"""),"Prima")</f>
        <v>Prima</v>
      </c>
      <c r="V205" s="6" t="str">
        <f>IFERROR(__xludf.DUMMYFUNCTION("""COMPUTED_VALUE"""),"Blouse")</f>
        <v>Blouse</v>
      </c>
      <c r="W205" s="6">
        <f>IFERROR(__xludf.DUMMYFUNCTION("""COMPUTED_VALUE"""),3.0)</f>
        <v>3</v>
      </c>
      <c r="X205" s="6" t="str">
        <f>IFERROR(__xludf.DUMMYFUNCTION("""COMPUTED_VALUE"""),"Sales &amp; Executive")</f>
        <v>Sales &amp; Executive</v>
      </c>
      <c r="Y205" s="6" t="s">
        <v>952</v>
      </c>
    </row>
    <row r="206">
      <c r="S206" s="6" t="str">
        <f>IFERROR(__xludf.DUMMYFUNCTION("""COMPUTED_VALUE"""),"PRD-200826-000058")</f>
        <v>PRD-200826-000058</v>
      </c>
      <c r="T206" s="6" t="str">
        <f>IFERROR(__xludf.DUMMYFUNCTION("""COMPUTED_VALUE"""),"20/08/2026 15:15")</f>
        <v>20/08/2026 15:15</v>
      </c>
      <c r="U206" s="6" t="str">
        <f>IFERROR(__xludf.DUMMYFUNCTION("""COMPUTED_VALUE"""),"Prima")</f>
        <v>Prima</v>
      </c>
      <c r="V206" s="6" t="str">
        <f>IFERROR(__xludf.DUMMYFUNCTION("""COMPUTED_VALUE"""),"Trousers")</f>
        <v>Trousers</v>
      </c>
      <c r="W206" s="6">
        <f>IFERROR(__xludf.DUMMYFUNCTION("""COMPUTED_VALUE"""),5.0)</f>
        <v>5</v>
      </c>
      <c r="X206" s="6" t="str">
        <f>IFERROR(__xludf.DUMMYFUNCTION("""COMPUTED_VALUE"""),"Wellness")</f>
        <v>Wellness</v>
      </c>
      <c r="Y206" s="6" t="s">
        <v>952</v>
      </c>
    </row>
    <row r="207">
      <c r="S207" s="6" t="str">
        <f>IFERROR(__xludf.DUMMYFUNCTION("""COMPUTED_VALUE"""),"PRD-200826-000059")</f>
        <v>PRD-200826-000059</v>
      </c>
      <c r="T207" s="6" t="str">
        <f>IFERROR(__xludf.DUMMYFUNCTION("""COMPUTED_VALUE"""),"20/08/2026 15:15")</f>
        <v>20/08/2026 15:15</v>
      </c>
      <c r="U207" s="6" t="str">
        <f>IFERROR(__xludf.DUMMYFUNCTION("""COMPUTED_VALUE"""),"Prima")</f>
        <v>Prima</v>
      </c>
      <c r="V207" s="6" t="str">
        <f>IFERROR(__xludf.DUMMYFUNCTION("""COMPUTED_VALUE"""),"Blouse")</f>
        <v>Blouse</v>
      </c>
      <c r="W207" s="6">
        <f>IFERROR(__xludf.DUMMYFUNCTION("""COMPUTED_VALUE"""),7.0)</f>
        <v>7</v>
      </c>
      <c r="X207" s="6" t="str">
        <f>IFERROR(__xludf.DUMMYFUNCTION("""COMPUTED_VALUE"""),"Wellness")</f>
        <v>Wellness</v>
      </c>
      <c r="Y207" s="6" t="s">
        <v>952</v>
      </c>
    </row>
    <row r="208">
      <c r="S208" s="6" t="str">
        <f>IFERROR(__xludf.DUMMYFUNCTION("""COMPUTED_VALUE"""),"PRD-200826-000060")</f>
        <v>PRD-200826-000060</v>
      </c>
      <c r="T208" s="6" t="str">
        <f>IFERROR(__xludf.DUMMYFUNCTION("""COMPUTED_VALUE"""),"20/08/2026 16:47")</f>
        <v>20/08/2026 16:47</v>
      </c>
      <c r="U208" s="6" t="str">
        <f>IFERROR(__xludf.DUMMYFUNCTION("""COMPUTED_VALUE"""),"Mukhlis")</f>
        <v>Mukhlis</v>
      </c>
      <c r="V208" s="6" t="str">
        <f>IFERROR(__xludf.DUMMYFUNCTION("""COMPUTED_VALUE"""),"Napkin")</f>
        <v>Napkin</v>
      </c>
      <c r="W208" s="6">
        <f>IFERROR(__xludf.DUMMYFUNCTION("""COMPUTED_VALUE"""),306.0)</f>
        <v>306</v>
      </c>
      <c r="X208" s="6" t="str">
        <f>IFERROR(__xludf.DUMMYFUNCTION("""COMPUTED_VALUE"""),"Cinnamon")</f>
        <v>Cinnamon</v>
      </c>
      <c r="Y208" s="6" t="s">
        <v>952</v>
      </c>
    </row>
    <row r="209">
      <c r="S209" s="6" t="str">
        <f>IFERROR(__xludf.DUMMYFUNCTION("""COMPUTED_VALUE"""),"PRD-200826-000061")</f>
        <v>PRD-200826-000061</v>
      </c>
      <c r="T209" s="6" t="str">
        <f>IFERROR(__xludf.DUMMYFUNCTION("""COMPUTED_VALUE"""),"20/08/2026 16:47")</f>
        <v>20/08/2026 16:47</v>
      </c>
      <c r="U209" s="6" t="str">
        <f>IFERROR(__xludf.DUMMYFUNCTION("""COMPUTED_VALUE"""),"Mukhlis")</f>
        <v>Mukhlis</v>
      </c>
      <c r="V209" s="6" t="str">
        <f>IFERROR(__xludf.DUMMYFUNCTION("""COMPUTED_VALUE"""),"Napkin")</f>
        <v>Napkin</v>
      </c>
      <c r="W209" s="6">
        <f>IFERROR(__xludf.DUMMYFUNCTION("""COMPUTED_VALUE"""),20.0)</f>
        <v>20</v>
      </c>
      <c r="X209" s="6" t="str">
        <f>IFERROR(__xludf.DUMMYFUNCTION("""COMPUTED_VALUE"""),"IRD")</f>
        <v>IRD</v>
      </c>
      <c r="Y209" s="6" t="s">
        <v>952</v>
      </c>
    </row>
    <row r="210">
      <c r="S210" s="6" t="str">
        <f>IFERROR(__xludf.DUMMYFUNCTION("""COMPUTED_VALUE"""),"PRD-200826-000062")</f>
        <v>PRD-200826-000062</v>
      </c>
      <c r="T210" s="6" t="str">
        <f>IFERROR(__xludf.DUMMYFUNCTION("""COMPUTED_VALUE"""),"20/08/2026 16:50")</f>
        <v>20/08/2026 16:50</v>
      </c>
      <c r="U210" s="6" t="str">
        <f>IFERROR(__xludf.DUMMYFUNCTION("""COMPUTED_VALUE"""),"Mukhlis")</f>
        <v>Mukhlis</v>
      </c>
      <c r="V210" s="1" t="str">
        <f>IFERROR(__xludf.DUMMYFUNCTION("""COMPUTED_VALUE"""),"Table Cloth")</f>
        <v>Table Cloth</v>
      </c>
      <c r="W210" s="6">
        <f>IFERROR(__xludf.DUMMYFUNCTION("""COMPUTED_VALUE"""),2.0)</f>
        <v>2</v>
      </c>
      <c r="X210" s="6" t="str">
        <f>IFERROR(__xludf.DUMMYFUNCTION("""COMPUTED_VALUE"""),"IRD")</f>
        <v>IRD</v>
      </c>
      <c r="Y210" s="6" t="s">
        <v>952</v>
      </c>
    </row>
    <row r="211">
      <c r="S211" s="6" t="str">
        <f>IFERROR(__xludf.DUMMYFUNCTION("""COMPUTED_VALUE"""),"PRD-200826-000063")</f>
        <v>PRD-200826-000063</v>
      </c>
      <c r="T211" s="6" t="str">
        <f>IFERROR(__xludf.DUMMYFUNCTION("""COMPUTED_VALUE"""),"20/08/2026 16:50")</f>
        <v>20/08/2026 16:50</v>
      </c>
      <c r="U211" s="6" t="str">
        <f>IFERROR(__xludf.DUMMYFUNCTION("""COMPUTED_VALUE"""),"Mukhlis")</f>
        <v>Mukhlis</v>
      </c>
      <c r="V211" s="6" t="str">
        <f>IFERROR(__xludf.DUMMYFUNCTION("""COMPUTED_VALUE"""),"Napkin")</f>
        <v>Napkin</v>
      </c>
      <c r="W211" s="6">
        <f>IFERROR(__xludf.DUMMYFUNCTION("""COMPUTED_VALUE"""),15.0)</f>
        <v>15</v>
      </c>
      <c r="X211" s="6" t="str">
        <f>IFERROR(__xludf.DUMMYFUNCTION("""COMPUTED_VALUE"""),"Club")</f>
        <v>Club</v>
      </c>
      <c r="Y211" s="6" t="s">
        <v>952</v>
      </c>
    </row>
    <row r="212">
      <c r="S212" s="6" t="str">
        <f>IFERROR(__xludf.DUMMYFUNCTION("""COMPUTED_VALUE"""),"PRD-210826-000001")</f>
        <v>PRD-210826-000001</v>
      </c>
      <c r="T212" s="6" t="str">
        <f>IFERROR(__xludf.DUMMYFUNCTION("""COMPUTED_VALUE"""),"21/08/2026 13:04")</f>
        <v>21/08/2026 13:04</v>
      </c>
      <c r="U212" s="6" t="str">
        <f>IFERROR(__xludf.DUMMYFUNCTION("""COMPUTED_VALUE"""),"Prima")</f>
        <v>Prima</v>
      </c>
      <c r="V212" s="6" t="str">
        <f>IFERROR(__xludf.DUMMYFUNCTION("""COMPUTED_VALUE"""),"Napkin")</f>
        <v>Napkin</v>
      </c>
      <c r="W212" s="6">
        <f>IFERROR(__xludf.DUMMYFUNCTION("""COMPUTED_VALUE"""),42.0)</f>
        <v>42</v>
      </c>
      <c r="X212" s="6" t="str">
        <f>IFERROR(__xludf.DUMMYFUNCTION("""COMPUTED_VALUE"""),"LiFeng")</f>
        <v>LiFeng</v>
      </c>
      <c r="Y212" s="6" t="s">
        <v>953</v>
      </c>
    </row>
    <row r="213">
      <c r="S213" s="6" t="str">
        <f>IFERROR(__xludf.DUMMYFUNCTION("""COMPUTED_VALUE"""),"PRD-210826-000002")</f>
        <v>PRD-210826-000002</v>
      </c>
      <c r="T213" s="6" t="str">
        <f>IFERROR(__xludf.DUMMYFUNCTION("""COMPUTED_VALUE"""),"21/08/2026 13:05")</f>
        <v>21/08/2026 13:05</v>
      </c>
      <c r="U213" s="6" t="str">
        <f>IFERROR(__xludf.DUMMYFUNCTION("""COMPUTED_VALUE"""),"Prima")</f>
        <v>Prima</v>
      </c>
      <c r="V213" s="6" t="str">
        <f>IFERROR(__xludf.DUMMYFUNCTION("""COMPUTED_VALUE"""),"Cloth")</f>
        <v>Cloth</v>
      </c>
      <c r="W213" s="6">
        <f>IFERROR(__xludf.DUMMYFUNCTION("""COMPUTED_VALUE"""),3.0)</f>
        <v>3</v>
      </c>
      <c r="X213" s="6" t="str">
        <f>IFERROR(__xludf.DUMMYFUNCTION("""COMPUTED_VALUE"""),"IRD")</f>
        <v>IRD</v>
      </c>
      <c r="Y213" s="6" t="s">
        <v>953</v>
      </c>
    </row>
    <row r="214">
      <c r="S214" s="6" t="str">
        <f>IFERROR(__xludf.DUMMYFUNCTION("""COMPUTED_VALUE"""),"PRD-210826-000003")</f>
        <v>PRD-210826-000003</v>
      </c>
      <c r="T214" s="6" t="str">
        <f>IFERROR(__xludf.DUMMYFUNCTION("""COMPUTED_VALUE"""),"21/08/2026 13:05")</f>
        <v>21/08/2026 13:05</v>
      </c>
      <c r="U214" s="6" t="str">
        <f>IFERROR(__xludf.DUMMYFUNCTION("""COMPUTED_VALUE"""),"Prima")</f>
        <v>Prima</v>
      </c>
      <c r="V214" s="6" t="str">
        <f>IFERROR(__xludf.DUMMYFUNCTION("""COMPUTED_VALUE"""),"Napkin")</f>
        <v>Napkin</v>
      </c>
      <c r="W214" s="6">
        <f>IFERROR(__xludf.DUMMYFUNCTION("""COMPUTED_VALUE"""),28.0)</f>
        <v>28</v>
      </c>
      <c r="X214" s="6" t="str">
        <f>IFERROR(__xludf.DUMMYFUNCTION("""COMPUTED_VALUE"""),"IRD")</f>
        <v>IRD</v>
      </c>
      <c r="Y214" s="6" t="s">
        <v>953</v>
      </c>
    </row>
    <row r="215">
      <c r="S215" s="6" t="str">
        <f>IFERROR(__xludf.DUMMYFUNCTION("""COMPUTED_VALUE"""),"PRD-210826-000004")</f>
        <v>PRD-210826-000004</v>
      </c>
      <c r="T215" s="6" t="str">
        <f>IFERROR(__xludf.DUMMYFUNCTION("""COMPUTED_VALUE"""),"21/08/2026 13:05")</f>
        <v>21/08/2026 13:05</v>
      </c>
      <c r="U215" s="6" t="str">
        <f>IFERROR(__xludf.DUMMYFUNCTION("""COMPUTED_VALUE"""),"Prima")</f>
        <v>Prima</v>
      </c>
      <c r="V215" s="6" t="str">
        <f>IFERROR(__xludf.DUMMYFUNCTION("""COMPUTED_VALUE"""),"Cloth")</f>
        <v>Cloth</v>
      </c>
      <c r="W215" s="6">
        <f>IFERROR(__xludf.DUMMYFUNCTION("""COMPUTED_VALUE"""),3.0)</f>
        <v>3</v>
      </c>
      <c r="X215" s="6" t="str">
        <f>IFERROR(__xludf.DUMMYFUNCTION("""COMPUTED_VALUE"""),"IRD")</f>
        <v>IRD</v>
      </c>
      <c r="Y215" s="6" t="s">
        <v>953</v>
      </c>
    </row>
    <row r="216">
      <c r="S216" s="6" t="str">
        <f>IFERROR(__xludf.DUMMYFUNCTION("""COMPUTED_VALUE"""),"PRD-210826-000005")</f>
        <v>PRD-210826-000005</v>
      </c>
      <c r="T216" s="6" t="str">
        <f>IFERROR(__xludf.DUMMYFUNCTION("""COMPUTED_VALUE"""),"21/08/2026 13:05")</f>
        <v>21/08/2026 13:05</v>
      </c>
      <c r="U216" s="6" t="str">
        <f>IFERROR(__xludf.DUMMYFUNCTION("""COMPUTED_VALUE"""),"Prima")</f>
        <v>Prima</v>
      </c>
      <c r="V216" s="6" t="str">
        <f>IFERROR(__xludf.DUMMYFUNCTION("""COMPUTED_VALUE"""),"Napkin")</f>
        <v>Napkin</v>
      </c>
      <c r="W216" s="6">
        <f>IFERROR(__xludf.DUMMYFUNCTION("""COMPUTED_VALUE"""),28.0)</f>
        <v>28</v>
      </c>
      <c r="X216" s="6" t="str">
        <f>IFERROR(__xludf.DUMMYFUNCTION("""COMPUTED_VALUE"""),"IRD")</f>
        <v>IRD</v>
      </c>
      <c r="Y216" s="6" t="s">
        <v>953</v>
      </c>
    </row>
    <row r="217">
      <c r="S217" s="6" t="str">
        <f>IFERROR(__xludf.DUMMYFUNCTION("""COMPUTED_VALUE"""),"PRD-210826-000006")</f>
        <v>PRD-210826-000006</v>
      </c>
      <c r="T217" s="6" t="str">
        <f>IFERROR(__xludf.DUMMYFUNCTION("""COMPUTED_VALUE"""),"21/08/2026 13:06")</f>
        <v>21/08/2026 13:06</v>
      </c>
      <c r="U217" s="6" t="str">
        <f>IFERROR(__xludf.DUMMYFUNCTION("""COMPUTED_VALUE"""),"Prima")</f>
        <v>Prima</v>
      </c>
      <c r="V217" s="6" t="str">
        <f>IFERROR(__xludf.DUMMYFUNCTION("""COMPUTED_VALUE"""),"Napkin")</f>
        <v>Napkin</v>
      </c>
      <c r="W217" s="6">
        <f>IFERROR(__xludf.DUMMYFUNCTION("""COMPUTED_VALUE"""),16.0)</f>
        <v>16</v>
      </c>
      <c r="X217" s="6" t="str">
        <f>IFERROR(__xludf.DUMMYFUNCTION("""COMPUTED_VALUE"""),"Club")</f>
        <v>Club</v>
      </c>
      <c r="Y217" s="6" t="s">
        <v>953</v>
      </c>
    </row>
    <row r="218">
      <c r="S218" s="6" t="str">
        <f>IFERROR(__xludf.DUMMYFUNCTION("""COMPUTED_VALUE"""),"PRD-210826-000007")</f>
        <v>PRD-210826-000007</v>
      </c>
      <c r="T218" s="6" t="str">
        <f>IFERROR(__xludf.DUMMYFUNCTION("""COMPUTED_VALUE"""),"21/08/2026 13:06")</f>
        <v>21/08/2026 13:06</v>
      </c>
      <c r="U218" s="6" t="str">
        <f>IFERROR(__xludf.DUMMYFUNCTION("""COMPUTED_VALUE"""),"Prima")</f>
        <v>Prima</v>
      </c>
      <c r="V218" s="6" t="str">
        <f>IFERROR(__xludf.DUMMYFUNCTION("""COMPUTED_VALUE"""),"Napkin")</f>
        <v>Napkin</v>
      </c>
      <c r="W218" s="6">
        <f>IFERROR(__xludf.DUMMYFUNCTION("""COMPUTED_VALUE"""),123.0)</f>
        <v>123</v>
      </c>
      <c r="X218" s="6" t="str">
        <f>IFERROR(__xludf.DUMMYFUNCTION("""COMPUTED_VALUE"""),"Cinnamon")</f>
        <v>Cinnamon</v>
      </c>
      <c r="Y218" s="6" t="s">
        <v>953</v>
      </c>
    </row>
    <row r="219">
      <c r="S219" s="6" t="str">
        <f>IFERROR(__xludf.DUMMYFUNCTION("""COMPUTED_VALUE"""),"PRD-210826-000008")</f>
        <v>PRD-210826-000008</v>
      </c>
      <c r="T219" s="6" t="str">
        <f>IFERROR(__xludf.DUMMYFUNCTION("""COMPUTED_VALUE"""),"21/08/2026 13:07")</f>
        <v>21/08/2026 13:07</v>
      </c>
      <c r="U219" s="6" t="str">
        <f>IFERROR(__xludf.DUMMYFUNCTION("""COMPUTED_VALUE"""),"Prima")</f>
        <v>Prima</v>
      </c>
      <c r="V219" s="6" t="str">
        <f>IFERROR(__xludf.DUMMYFUNCTION("""COMPUTED_VALUE"""),"Napkin")</f>
        <v>Napkin</v>
      </c>
      <c r="W219" s="6">
        <f>IFERROR(__xludf.DUMMYFUNCTION("""COMPUTED_VALUE"""),123.0)</f>
        <v>123</v>
      </c>
      <c r="X219" s="6" t="str">
        <f>IFERROR(__xludf.DUMMYFUNCTION("""COMPUTED_VALUE"""),"Cinnamon")</f>
        <v>Cinnamon</v>
      </c>
      <c r="Y219" s="6" t="s">
        <v>953</v>
      </c>
    </row>
    <row r="220">
      <c r="S220" s="6" t="str">
        <f>IFERROR(__xludf.DUMMYFUNCTION("""COMPUTED_VALUE"""),"PRD-210826-000009")</f>
        <v>PRD-210826-000009</v>
      </c>
      <c r="T220" s="6" t="str">
        <f>IFERROR(__xludf.DUMMYFUNCTION("""COMPUTED_VALUE"""),"21/08/2026 15:17")</f>
        <v>21/08/2026 15:17</v>
      </c>
      <c r="U220" s="6" t="str">
        <f>IFERROR(__xludf.DUMMYFUNCTION("""COMPUTED_VALUE"""),"Made")</f>
        <v>Made</v>
      </c>
      <c r="V220" s="6" t="str">
        <f>IFERROR(__xludf.DUMMYFUNCTION("""COMPUTED_VALUE"""),"Napkin")</f>
        <v>Napkin</v>
      </c>
      <c r="W220" s="6">
        <f>IFERROR(__xludf.DUMMYFUNCTION("""COMPUTED_VALUE"""),2.0)</f>
        <v>2</v>
      </c>
      <c r="X220" s="6" t="str">
        <f>IFERROR(__xludf.DUMMYFUNCTION("""COMPUTED_VALUE"""),"Kitchen / Culinary")</f>
        <v>Kitchen / Culinary</v>
      </c>
      <c r="Y220" s="6" t="s">
        <v>953</v>
      </c>
    </row>
    <row r="221">
      <c r="S221" s="6" t="str">
        <f>IFERROR(__xludf.DUMMYFUNCTION("""COMPUTED_VALUE"""),"PRD-210826-000010")</f>
        <v>PRD-210826-000010</v>
      </c>
      <c r="T221" s="6" t="str">
        <f>IFERROR(__xludf.DUMMYFUNCTION("""COMPUTED_VALUE"""),"21/08/2026 15:22")</f>
        <v>21/08/2026 15:22</v>
      </c>
      <c r="U221" s="6" t="str">
        <f>IFERROR(__xludf.DUMMYFUNCTION("""COMPUTED_VALUE"""),"Made")</f>
        <v>Made</v>
      </c>
      <c r="V221" s="6" t="str">
        <f>IFERROR(__xludf.DUMMYFUNCTION("""COMPUTED_VALUE"""),"Cloth")</f>
        <v>Cloth</v>
      </c>
      <c r="W221" s="6">
        <f>IFERROR(__xludf.DUMMYFUNCTION("""COMPUTED_VALUE"""),4.0)</f>
        <v>4</v>
      </c>
      <c r="X221" s="6" t="str">
        <f>IFERROR(__xludf.DUMMYFUNCTION("""COMPUTED_VALUE"""),"Kitchen / Culinary")</f>
        <v>Kitchen / Culinary</v>
      </c>
      <c r="Y221" s="6" t="s">
        <v>953</v>
      </c>
    </row>
    <row r="222">
      <c r="S222" s="6" t="str">
        <f>IFERROR(__xludf.DUMMYFUNCTION("""COMPUTED_VALUE"""),"PRD-210826-000011")</f>
        <v>PRD-210826-000011</v>
      </c>
      <c r="T222" s="6" t="str">
        <f>IFERROR(__xludf.DUMMYFUNCTION("""COMPUTED_VALUE"""),"21/08/2026 15:30")</f>
        <v>21/08/2026 15:30</v>
      </c>
      <c r="U222" s="6" t="str">
        <f>IFERROR(__xludf.DUMMYFUNCTION("""COMPUTED_VALUE"""),"Prima")</f>
        <v>Prima</v>
      </c>
      <c r="V222" s="6" t="str">
        <f>IFERROR(__xludf.DUMMYFUNCTION("""COMPUTED_VALUE"""),"Trousers")</f>
        <v>Trousers</v>
      </c>
      <c r="W222" s="6">
        <f>IFERROR(__xludf.DUMMYFUNCTION("""COMPUTED_VALUE"""),43.0)</f>
        <v>43</v>
      </c>
      <c r="X222" s="6" t="str">
        <f>IFERROR(__xludf.DUMMYFUNCTION("""COMPUTED_VALUE"""),"Housekeeping")</f>
        <v>Housekeeping</v>
      </c>
      <c r="Y222" s="6" t="s">
        <v>953</v>
      </c>
    </row>
    <row r="223">
      <c r="S223" s="6" t="str">
        <f>IFERROR(__xludf.DUMMYFUNCTION("""COMPUTED_VALUE"""),"PRD-210826-000012")</f>
        <v>PRD-210826-000012</v>
      </c>
      <c r="T223" s="6" t="str">
        <f>IFERROR(__xludf.DUMMYFUNCTION("""COMPUTED_VALUE"""),"21/08/2026 15:30")</f>
        <v>21/08/2026 15:30</v>
      </c>
      <c r="U223" s="6" t="str">
        <f>IFERROR(__xludf.DUMMYFUNCTION("""COMPUTED_VALUE"""),"Prima")</f>
        <v>Prima</v>
      </c>
      <c r="V223" s="6" t="str">
        <f>IFERROR(__xludf.DUMMYFUNCTION("""COMPUTED_VALUE"""),"Skirt")</f>
        <v>Skirt</v>
      </c>
      <c r="W223" s="6">
        <f>IFERROR(__xludf.DUMMYFUNCTION("""COMPUTED_VALUE"""),1.0)</f>
        <v>1</v>
      </c>
      <c r="X223" s="6" t="str">
        <f>IFERROR(__xludf.DUMMYFUNCTION("""COMPUTED_VALUE"""),"Housekeeping")</f>
        <v>Housekeeping</v>
      </c>
      <c r="Y223" s="6" t="s">
        <v>953</v>
      </c>
    </row>
    <row r="224">
      <c r="S224" s="6" t="str">
        <f>IFERROR(__xludf.DUMMYFUNCTION("""COMPUTED_VALUE"""),"PRD-210826-000013")</f>
        <v>PRD-210826-000013</v>
      </c>
      <c r="T224" s="6" t="str">
        <f>IFERROR(__xludf.DUMMYFUNCTION("""COMPUTED_VALUE"""),"21/08/2026 15:30")</f>
        <v>21/08/2026 15:30</v>
      </c>
      <c r="U224" s="6" t="str">
        <f>IFERROR(__xludf.DUMMYFUNCTION("""COMPUTED_VALUE"""),"Prima")</f>
        <v>Prima</v>
      </c>
      <c r="V224" s="6" t="str">
        <f>IFERROR(__xludf.DUMMYFUNCTION("""COMPUTED_VALUE"""),"Shirt")</f>
        <v>Shirt</v>
      </c>
      <c r="W224" s="6">
        <f>IFERROR(__xludf.DUMMYFUNCTION("""COMPUTED_VALUE"""),41.0)</f>
        <v>41</v>
      </c>
      <c r="X224" s="6" t="str">
        <f>IFERROR(__xludf.DUMMYFUNCTION("""COMPUTED_VALUE"""),"Housekeeping")</f>
        <v>Housekeeping</v>
      </c>
      <c r="Y224" s="6" t="s">
        <v>953</v>
      </c>
    </row>
    <row r="225">
      <c r="S225" s="6" t="str">
        <f>IFERROR(__xludf.DUMMYFUNCTION("""COMPUTED_VALUE"""),"PRD-210826-000014")</f>
        <v>PRD-210826-000014</v>
      </c>
      <c r="T225" s="6" t="str">
        <f>IFERROR(__xludf.DUMMYFUNCTION("""COMPUTED_VALUE"""),"21/08/2026 15:30")</f>
        <v>21/08/2026 15:30</v>
      </c>
      <c r="U225" s="6" t="str">
        <f>IFERROR(__xludf.DUMMYFUNCTION("""COMPUTED_VALUE"""),"Prima")</f>
        <v>Prima</v>
      </c>
      <c r="V225" s="6" t="str">
        <f>IFERROR(__xludf.DUMMYFUNCTION("""COMPUTED_VALUE"""),"Blouse")</f>
        <v>Blouse</v>
      </c>
      <c r="W225" s="6">
        <f>IFERROR(__xludf.DUMMYFUNCTION("""COMPUTED_VALUE"""),2.0)</f>
        <v>2</v>
      </c>
      <c r="X225" s="6" t="str">
        <f>IFERROR(__xludf.DUMMYFUNCTION("""COMPUTED_VALUE"""),"Housekeeping")</f>
        <v>Housekeeping</v>
      </c>
      <c r="Y225" s="6" t="s">
        <v>953</v>
      </c>
    </row>
    <row r="226">
      <c r="S226" s="6" t="str">
        <f>IFERROR(__xludf.DUMMYFUNCTION("""COMPUTED_VALUE"""),"PRD-210826-000015")</f>
        <v>PRD-210826-000015</v>
      </c>
      <c r="T226" s="6" t="str">
        <f>IFERROR(__xludf.DUMMYFUNCTION("""COMPUTED_VALUE"""),"21/08/2026 15:34")</f>
        <v>21/08/2026 15:34</v>
      </c>
      <c r="U226" s="6" t="str">
        <f>IFERROR(__xludf.DUMMYFUNCTION("""COMPUTED_VALUE"""),"Prima")</f>
        <v>Prima</v>
      </c>
      <c r="V226" s="6" t="str">
        <f>IFERROR(__xludf.DUMMYFUNCTION("""COMPUTED_VALUE"""),"Trousers")</f>
        <v>Trousers</v>
      </c>
      <c r="W226" s="6">
        <f>IFERROR(__xludf.DUMMYFUNCTION("""COMPUTED_VALUE"""),6.0)</f>
        <v>6</v>
      </c>
      <c r="X226" s="6" t="str">
        <f>IFERROR(__xludf.DUMMYFUNCTION("""COMPUTED_VALUE"""),"Front Office")</f>
        <v>Front Office</v>
      </c>
      <c r="Y226" s="6" t="s">
        <v>953</v>
      </c>
    </row>
    <row r="227">
      <c r="S227" s="6" t="str">
        <f>IFERROR(__xludf.DUMMYFUNCTION("""COMPUTED_VALUE"""),"PRD-210826-000016")</f>
        <v>PRD-210826-000016</v>
      </c>
      <c r="T227" s="6" t="str">
        <f>IFERROR(__xludf.DUMMYFUNCTION("""COMPUTED_VALUE"""),"21/08/2026 15:34")</f>
        <v>21/08/2026 15:34</v>
      </c>
      <c r="U227" s="6" t="str">
        <f>IFERROR(__xludf.DUMMYFUNCTION("""COMPUTED_VALUE"""),"Prima")</f>
        <v>Prima</v>
      </c>
      <c r="V227" s="6" t="str">
        <f>IFERROR(__xludf.DUMMYFUNCTION("""COMPUTED_VALUE"""),"Skirt")</f>
        <v>Skirt</v>
      </c>
      <c r="W227" s="6">
        <f>IFERROR(__xludf.DUMMYFUNCTION("""COMPUTED_VALUE"""),3.0)</f>
        <v>3</v>
      </c>
      <c r="X227" s="6" t="str">
        <f>IFERROR(__xludf.DUMMYFUNCTION("""COMPUTED_VALUE"""),"Front Office")</f>
        <v>Front Office</v>
      </c>
      <c r="Y227" s="6" t="s">
        <v>953</v>
      </c>
    </row>
    <row r="228">
      <c r="S228" s="6" t="str">
        <f>IFERROR(__xludf.DUMMYFUNCTION("""COMPUTED_VALUE"""),"PRD-210826-000017")</f>
        <v>PRD-210826-000017</v>
      </c>
      <c r="T228" s="6" t="str">
        <f>IFERROR(__xludf.DUMMYFUNCTION("""COMPUTED_VALUE"""),"21/08/2026 15:34")</f>
        <v>21/08/2026 15:34</v>
      </c>
      <c r="U228" s="6" t="str">
        <f>IFERROR(__xludf.DUMMYFUNCTION("""COMPUTED_VALUE"""),"Prima")</f>
        <v>Prima</v>
      </c>
      <c r="V228" s="6" t="str">
        <f>IFERROR(__xludf.DUMMYFUNCTION("""COMPUTED_VALUE"""),"Shirt")</f>
        <v>Shirt</v>
      </c>
      <c r="W228" s="6">
        <f>IFERROR(__xludf.DUMMYFUNCTION("""COMPUTED_VALUE"""),7.0)</f>
        <v>7</v>
      </c>
      <c r="X228" s="6" t="str">
        <f>IFERROR(__xludf.DUMMYFUNCTION("""COMPUTED_VALUE"""),"Front Office")</f>
        <v>Front Office</v>
      </c>
      <c r="Y228" s="6" t="s">
        <v>953</v>
      </c>
    </row>
    <row r="229">
      <c r="S229" s="6" t="str">
        <f>IFERROR(__xludf.DUMMYFUNCTION("""COMPUTED_VALUE"""),"PRD-210826-000018")</f>
        <v>PRD-210826-000018</v>
      </c>
      <c r="T229" s="6" t="str">
        <f>IFERROR(__xludf.DUMMYFUNCTION("""COMPUTED_VALUE"""),"21/08/2026 15:34")</f>
        <v>21/08/2026 15:34</v>
      </c>
      <c r="U229" s="6" t="str">
        <f>IFERROR(__xludf.DUMMYFUNCTION("""COMPUTED_VALUE"""),"Prima")</f>
        <v>Prima</v>
      </c>
      <c r="V229" s="6" t="str">
        <f>IFERROR(__xludf.DUMMYFUNCTION("""COMPUTED_VALUE"""),"Blouse")</f>
        <v>Blouse</v>
      </c>
      <c r="W229" s="6">
        <f>IFERROR(__xludf.DUMMYFUNCTION("""COMPUTED_VALUE"""),2.0)</f>
        <v>2</v>
      </c>
      <c r="X229" s="6" t="str">
        <f>IFERROR(__xludf.DUMMYFUNCTION("""COMPUTED_VALUE"""),"Front Office")</f>
        <v>Front Office</v>
      </c>
      <c r="Y229" s="6" t="s">
        <v>953</v>
      </c>
    </row>
    <row r="230">
      <c r="S230" s="6" t="str">
        <f>IFERROR(__xludf.DUMMYFUNCTION("""COMPUTED_VALUE"""),"PRD-210826-000019")</f>
        <v>PRD-210826-000019</v>
      </c>
      <c r="T230" s="6" t="str">
        <f>IFERROR(__xludf.DUMMYFUNCTION("""COMPUTED_VALUE"""),"21/08/2026 15:34")</f>
        <v>21/08/2026 15:34</v>
      </c>
      <c r="U230" s="6" t="str">
        <f>IFERROR(__xludf.DUMMYFUNCTION("""COMPUTED_VALUE"""),"Prima")</f>
        <v>Prima</v>
      </c>
      <c r="V230" s="6" t="str">
        <f>IFERROR(__xludf.DUMMYFUNCTION("""COMPUTED_VALUE"""),"Jacket")</f>
        <v>Jacket</v>
      </c>
      <c r="W230" s="6">
        <f>IFERROR(__xludf.DUMMYFUNCTION("""COMPUTED_VALUE"""),6.0)</f>
        <v>6</v>
      </c>
      <c r="X230" s="6" t="str">
        <f>IFERROR(__xludf.DUMMYFUNCTION("""COMPUTED_VALUE"""),"Front Office")</f>
        <v>Front Office</v>
      </c>
      <c r="Y230" s="6" t="s">
        <v>953</v>
      </c>
    </row>
    <row r="231">
      <c r="S231" s="6" t="str">
        <f>IFERROR(__xludf.DUMMYFUNCTION("""COMPUTED_VALUE"""),"PRD-210826-000020")</f>
        <v>PRD-210826-000020</v>
      </c>
      <c r="T231" s="6" t="str">
        <f>IFERROR(__xludf.DUMMYFUNCTION("""COMPUTED_VALUE"""),"21/08/2026 15:34")</f>
        <v>21/08/2026 15:34</v>
      </c>
      <c r="U231" s="6" t="str">
        <f>IFERROR(__xludf.DUMMYFUNCTION("""COMPUTED_VALUE"""),"Prima")</f>
        <v>Prima</v>
      </c>
      <c r="V231" s="6" t="str">
        <f>IFERROR(__xludf.DUMMYFUNCTION("""COMPUTED_VALUE"""),"Vest")</f>
        <v>Vest</v>
      </c>
      <c r="W231" s="6">
        <f>IFERROR(__xludf.DUMMYFUNCTION("""COMPUTED_VALUE"""),1.0)</f>
        <v>1</v>
      </c>
      <c r="X231" s="6" t="str">
        <f>IFERROR(__xludf.DUMMYFUNCTION("""COMPUTED_VALUE"""),"Front Office")</f>
        <v>Front Office</v>
      </c>
      <c r="Y231" s="6" t="s">
        <v>953</v>
      </c>
    </row>
    <row r="232">
      <c r="S232" s="6" t="str">
        <f>IFERROR(__xludf.DUMMYFUNCTION("""COMPUTED_VALUE"""),"PRD-210826-000021")</f>
        <v>PRD-210826-000021</v>
      </c>
      <c r="T232" s="6" t="str">
        <f>IFERROR(__xludf.DUMMYFUNCTION("""COMPUTED_VALUE"""),"21/08/2026 15:36")</f>
        <v>21/08/2026 15:36</v>
      </c>
      <c r="U232" s="6" t="str">
        <f>IFERROR(__xludf.DUMMYFUNCTION("""COMPUTED_VALUE"""),"Prima")</f>
        <v>Prima</v>
      </c>
      <c r="V232" s="6" t="str">
        <f>IFERROR(__xludf.DUMMYFUNCTION("""COMPUTED_VALUE"""),"Skirt")</f>
        <v>Skirt</v>
      </c>
      <c r="W232" s="6">
        <f>IFERROR(__xludf.DUMMYFUNCTION("""COMPUTED_VALUE"""),2.0)</f>
        <v>2</v>
      </c>
      <c r="X232" s="6" t="str">
        <f>IFERROR(__xludf.DUMMYFUNCTION("""COMPUTED_VALUE"""),"GRE")</f>
        <v>GRE</v>
      </c>
      <c r="Y232" s="6" t="s">
        <v>953</v>
      </c>
    </row>
    <row r="233">
      <c r="S233" s="6" t="str">
        <f>IFERROR(__xludf.DUMMYFUNCTION("""COMPUTED_VALUE"""),"PRD-210826-000022")</f>
        <v>PRD-210826-000022</v>
      </c>
      <c r="T233" s="6" t="str">
        <f>IFERROR(__xludf.DUMMYFUNCTION("""COMPUTED_VALUE"""),"21/08/2026 15:36")</f>
        <v>21/08/2026 15:36</v>
      </c>
      <c r="U233" s="6" t="str">
        <f>IFERROR(__xludf.DUMMYFUNCTION("""COMPUTED_VALUE"""),"Prima")</f>
        <v>Prima</v>
      </c>
      <c r="V233" s="6" t="str">
        <f>IFERROR(__xludf.DUMMYFUNCTION("""COMPUTED_VALUE"""),"Jacket")</f>
        <v>Jacket</v>
      </c>
      <c r="W233" s="6">
        <f>IFERROR(__xludf.DUMMYFUNCTION("""COMPUTED_VALUE"""),2.0)</f>
        <v>2</v>
      </c>
      <c r="X233" s="6" t="str">
        <f>IFERROR(__xludf.DUMMYFUNCTION("""COMPUTED_VALUE"""),"GRE")</f>
        <v>GRE</v>
      </c>
      <c r="Y233" s="6" t="s">
        <v>953</v>
      </c>
    </row>
    <row r="234">
      <c r="S234" s="6" t="str">
        <f>IFERROR(__xludf.DUMMYFUNCTION("""COMPUTED_VALUE"""),"PRD-210826-000023")</f>
        <v>PRD-210826-000023</v>
      </c>
      <c r="T234" s="6" t="str">
        <f>IFERROR(__xludf.DUMMYFUNCTION("""COMPUTED_VALUE"""),"21/08/2026 15:36")</f>
        <v>21/08/2026 15:36</v>
      </c>
      <c r="U234" s="6" t="str">
        <f>IFERROR(__xludf.DUMMYFUNCTION("""COMPUTED_VALUE"""),"Prima")</f>
        <v>Prima</v>
      </c>
      <c r="V234" s="6" t="str">
        <f>IFERROR(__xludf.DUMMYFUNCTION("""COMPUTED_VALUE"""),"Trousers")</f>
        <v>Trousers</v>
      </c>
      <c r="W234" s="6">
        <f>IFERROR(__xludf.DUMMYFUNCTION("""COMPUTED_VALUE"""),5.0)</f>
        <v>5</v>
      </c>
      <c r="X234" s="6" t="str">
        <f>IFERROR(__xludf.DUMMYFUNCTION("""COMPUTED_VALUE"""),"Concierge")</f>
        <v>Concierge</v>
      </c>
      <c r="Y234" s="6" t="s">
        <v>953</v>
      </c>
    </row>
    <row r="235">
      <c r="S235" s="6" t="str">
        <f>IFERROR(__xludf.DUMMYFUNCTION("""COMPUTED_VALUE"""),"PRD-210826-000024")</f>
        <v>PRD-210826-000024</v>
      </c>
      <c r="T235" s="6" t="str">
        <f>IFERROR(__xludf.DUMMYFUNCTION("""COMPUTED_VALUE"""),"21/08/2026 15:36")</f>
        <v>21/08/2026 15:36</v>
      </c>
      <c r="U235" s="6" t="str">
        <f>IFERROR(__xludf.DUMMYFUNCTION("""COMPUTED_VALUE"""),"Prima")</f>
        <v>Prima</v>
      </c>
      <c r="V235" s="6" t="str">
        <f>IFERROR(__xludf.DUMMYFUNCTION("""COMPUTED_VALUE"""),"Jacket")</f>
        <v>Jacket</v>
      </c>
      <c r="W235" s="6">
        <f>IFERROR(__xludf.DUMMYFUNCTION("""COMPUTED_VALUE"""),5.0)</f>
        <v>5</v>
      </c>
      <c r="X235" s="6" t="str">
        <f>IFERROR(__xludf.DUMMYFUNCTION("""COMPUTED_VALUE"""),"Concierge")</f>
        <v>Concierge</v>
      </c>
      <c r="Y235" s="6" t="s">
        <v>953</v>
      </c>
    </row>
    <row r="236">
      <c r="S236" s="6" t="str">
        <f>IFERROR(__xludf.DUMMYFUNCTION("""COMPUTED_VALUE"""),"PRD-210826-000025")</f>
        <v>PRD-210826-000025</v>
      </c>
      <c r="T236" s="6" t="str">
        <f>IFERROR(__xludf.DUMMYFUNCTION("""COMPUTED_VALUE"""),"21/08/2026 15:37")</f>
        <v>21/08/2026 15:37</v>
      </c>
      <c r="U236" s="6" t="str">
        <f>IFERROR(__xludf.DUMMYFUNCTION("""COMPUTED_VALUE"""),"Prima")</f>
        <v>Prima</v>
      </c>
      <c r="V236" s="6" t="str">
        <f>IFERROR(__xludf.DUMMYFUNCTION("""COMPUTED_VALUE"""),"Blouse")</f>
        <v>Blouse</v>
      </c>
      <c r="W236" s="6">
        <f>IFERROR(__xludf.DUMMYFUNCTION("""COMPUTED_VALUE"""),2.0)</f>
        <v>2</v>
      </c>
      <c r="X236" s="6" t="str">
        <f>IFERROR(__xludf.DUMMYFUNCTION("""COMPUTED_VALUE"""),"Club")</f>
        <v>Club</v>
      </c>
      <c r="Y236" s="6" t="s">
        <v>953</v>
      </c>
    </row>
    <row r="237">
      <c r="S237" s="6" t="str">
        <f>IFERROR(__xludf.DUMMYFUNCTION("""COMPUTED_VALUE"""),"PRD-210826-000026")</f>
        <v>PRD-210826-000026</v>
      </c>
      <c r="T237" s="6" t="str">
        <f>IFERROR(__xludf.DUMMYFUNCTION("""COMPUTED_VALUE"""),"21/08/2026 15:37")</f>
        <v>21/08/2026 15:37</v>
      </c>
      <c r="U237" s="6" t="str">
        <f>IFERROR(__xludf.DUMMYFUNCTION("""COMPUTED_VALUE"""),"Prima")</f>
        <v>Prima</v>
      </c>
      <c r="V237" s="6" t="str">
        <f>IFERROR(__xludf.DUMMYFUNCTION("""COMPUTED_VALUE"""),"Dress")</f>
        <v>Dress</v>
      </c>
      <c r="W237" s="6">
        <f>IFERROR(__xludf.DUMMYFUNCTION("""COMPUTED_VALUE"""),2.0)</f>
        <v>2</v>
      </c>
      <c r="X237" s="6" t="str">
        <f>IFERROR(__xludf.DUMMYFUNCTION("""COMPUTED_VALUE"""),"Club")</f>
        <v>Club</v>
      </c>
      <c r="Y237" s="6" t="s">
        <v>953</v>
      </c>
    </row>
    <row r="238">
      <c r="S238" s="6" t="str">
        <f>IFERROR(__xludf.DUMMYFUNCTION("""COMPUTED_VALUE"""),"PRD-210826-000027")</f>
        <v>PRD-210826-000027</v>
      </c>
      <c r="T238" s="6" t="str">
        <f>IFERROR(__xludf.DUMMYFUNCTION("""COMPUTED_VALUE"""),"21/08/2026 15:38")</f>
        <v>21/08/2026 15:38</v>
      </c>
      <c r="U238" s="6" t="str">
        <f>IFERROR(__xludf.DUMMYFUNCTION("""COMPUTED_VALUE"""),"Prima")</f>
        <v>Prima</v>
      </c>
      <c r="V238" s="6" t="str">
        <f>IFERROR(__xludf.DUMMYFUNCTION("""COMPUTED_VALUE"""),"Trousers")</f>
        <v>Trousers</v>
      </c>
      <c r="W238" s="6">
        <f>IFERROR(__xludf.DUMMYFUNCTION("""COMPUTED_VALUE"""),4.0)</f>
        <v>4</v>
      </c>
      <c r="X238" s="6" t="str">
        <f>IFERROR(__xludf.DUMMYFUNCTION("""COMPUTED_VALUE"""),"GSC")</f>
        <v>GSC</v>
      </c>
      <c r="Y238" s="6" t="s">
        <v>953</v>
      </c>
    </row>
    <row r="239">
      <c r="S239" s="6" t="str">
        <f>IFERROR(__xludf.DUMMYFUNCTION("""COMPUTED_VALUE"""),"PRD-210826-000028")</f>
        <v>PRD-210826-000028</v>
      </c>
      <c r="T239" s="6" t="str">
        <f>IFERROR(__xludf.DUMMYFUNCTION("""COMPUTED_VALUE"""),"21/08/2026 15:38")</f>
        <v>21/08/2026 15:38</v>
      </c>
      <c r="U239" s="6" t="str">
        <f>IFERROR(__xludf.DUMMYFUNCTION("""COMPUTED_VALUE"""),"Prima")</f>
        <v>Prima</v>
      </c>
      <c r="V239" s="6" t="str">
        <f>IFERROR(__xludf.DUMMYFUNCTION("""COMPUTED_VALUE"""),"Jacket")</f>
        <v>Jacket</v>
      </c>
      <c r="W239" s="6">
        <f>IFERROR(__xludf.DUMMYFUNCTION("""COMPUTED_VALUE"""),4.0)</f>
        <v>4</v>
      </c>
      <c r="X239" s="6" t="str">
        <f>IFERROR(__xludf.DUMMYFUNCTION("""COMPUTED_VALUE"""),"GSC")</f>
        <v>GSC</v>
      </c>
      <c r="Y239" s="6" t="s">
        <v>953</v>
      </c>
    </row>
    <row r="240">
      <c r="S240" s="6" t="str">
        <f>IFERROR(__xludf.DUMMYFUNCTION("""COMPUTED_VALUE"""),"PRD-210826-000029")</f>
        <v>PRD-210826-000029</v>
      </c>
      <c r="T240" s="6" t="str">
        <f>IFERROR(__xludf.DUMMYFUNCTION("""COMPUTED_VALUE"""),"21/08/2026 15:39")</f>
        <v>21/08/2026 15:39</v>
      </c>
      <c r="U240" s="6" t="str">
        <f>IFERROR(__xludf.DUMMYFUNCTION("""COMPUTED_VALUE"""),"Prima")</f>
        <v>Prima</v>
      </c>
      <c r="V240" s="6" t="str">
        <f>IFERROR(__xludf.DUMMYFUNCTION("""COMPUTED_VALUE"""),"Trousers")</f>
        <v>Trousers</v>
      </c>
      <c r="W240" s="6">
        <f>IFERROR(__xludf.DUMMYFUNCTION("""COMPUTED_VALUE"""),1.0)</f>
        <v>1</v>
      </c>
      <c r="X240" s="6" t="str">
        <f>IFERROR(__xludf.DUMMYFUNCTION("""COMPUTED_VALUE"""),"Security")</f>
        <v>Security</v>
      </c>
      <c r="Y240" s="6" t="s">
        <v>953</v>
      </c>
    </row>
    <row r="241">
      <c r="S241" s="6" t="str">
        <f>IFERROR(__xludf.DUMMYFUNCTION("""COMPUTED_VALUE"""),"PRD-210826-000030")</f>
        <v>PRD-210826-000030</v>
      </c>
      <c r="T241" s="6" t="str">
        <f>IFERROR(__xludf.DUMMYFUNCTION("""COMPUTED_VALUE"""),"21/08/2026 15:39")</f>
        <v>21/08/2026 15:39</v>
      </c>
      <c r="U241" s="6" t="str">
        <f>IFERROR(__xludf.DUMMYFUNCTION("""COMPUTED_VALUE"""),"Prima")</f>
        <v>Prima</v>
      </c>
      <c r="V241" s="6" t="str">
        <f>IFERROR(__xludf.DUMMYFUNCTION("""COMPUTED_VALUE"""),"Shirt")</f>
        <v>Shirt</v>
      </c>
      <c r="W241" s="6">
        <f>IFERROR(__xludf.DUMMYFUNCTION("""COMPUTED_VALUE"""),4.0)</f>
        <v>4</v>
      </c>
      <c r="X241" s="6" t="str">
        <f>IFERROR(__xludf.DUMMYFUNCTION("""COMPUTED_VALUE"""),"Security")</f>
        <v>Security</v>
      </c>
      <c r="Y241" s="6" t="s">
        <v>953</v>
      </c>
    </row>
    <row r="242">
      <c r="S242" s="6" t="str">
        <f>IFERROR(__xludf.DUMMYFUNCTION("""COMPUTED_VALUE"""),"PRD-210826-000031")</f>
        <v>PRD-210826-000031</v>
      </c>
      <c r="T242" s="6" t="str">
        <f>IFERROR(__xludf.DUMMYFUNCTION("""COMPUTED_VALUE"""),"21/08/2026 15:40")</f>
        <v>21/08/2026 15:40</v>
      </c>
      <c r="U242" s="6" t="str">
        <f>IFERROR(__xludf.DUMMYFUNCTION("""COMPUTED_VALUE"""),"Prima")</f>
        <v>Prima</v>
      </c>
      <c r="V242" s="6" t="str">
        <f>IFERROR(__xludf.DUMMYFUNCTION("""COMPUTED_VALUE"""),"Trousers")</f>
        <v>Trousers</v>
      </c>
      <c r="W242" s="6">
        <f>IFERROR(__xludf.DUMMYFUNCTION("""COMPUTED_VALUE"""),3.0)</f>
        <v>3</v>
      </c>
      <c r="X242" s="6" t="str">
        <f>IFERROR(__xludf.DUMMYFUNCTION("""COMPUTED_VALUE"""),"IRD")</f>
        <v>IRD</v>
      </c>
      <c r="Y242" s="6" t="s">
        <v>953</v>
      </c>
    </row>
    <row r="243">
      <c r="S243" s="6" t="str">
        <f>IFERROR(__xludf.DUMMYFUNCTION("""COMPUTED_VALUE"""),"PRD-210826-000032")</f>
        <v>PRD-210826-000032</v>
      </c>
      <c r="T243" s="6" t="str">
        <f>IFERROR(__xludf.DUMMYFUNCTION("""COMPUTED_VALUE"""),"21/08/2026 15:40")</f>
        <v>21/08/2026 15:40</v>
      </c>
      <c r="U243" s="6" t="str">
        <f>IFERROR(__xludf.DUMMYFUNCTION("""COMPUTED_VALUE"""),"Prima")</f>
        <v>Prima</v>
      </c>
      <c r="V243" s="6" t="str">
        <f>IFERROR(__xludf.DUMMYFUNCTION("""COMPUTED_VALUE"""),"Skirt")</f>
        <v>Skirt</v>
      </c>
      <c r="W243" s="6">
        <f>IFERROR(__xludf.DUMMYFUNCTION("""COMPUTED_VALUE"""),1.0)</f>
        <v>1</v>
      </c>
      <c r="X243" s="6" t="str">
        <f>IFERROR(__xludf.DUMMYFUNCTION("""COMPUTED_VALUE"""),"IRD")</f>
        <v>IRD</v>
      </c>
      <c r="Y243" s="6" t="s">
        <v>953</v>
      </c>
    </row>
    <row r="244">
      <c r="S244" s="6" t="str">
        <f>IFERROR(__xludf.DUMMYFUNCTION("""COMPUTED_VALUE"""),"PRD-210826-000033")</f>
        <v>PRD-210826-000033</v>
      </c>
      <c r="T244" s="6" t="str">
        <f>IFERROR(__xludf.DUMMYFUNCTION("""COMPUTED_VALUE"""),"21/08/2026 15:40")</f>
        <v>21/08/2026 15:40</v>
      </c>
      <c r="U244" s="6" t="str">
        <f>IFERROR(__xludf.DUMMYFUNCTION("""COMPUTED_VALUE"""),"Prima")</f>
        <v>Prima</v>
      </c>
      <c r="V244" s="6" t="str">
        <f>IFERROR(__xludf.DUMMYFUNCTION("""COMPUTED_VALUE"""),"Shirt")</f>
        <v>Shirt</v>
      </c>
      <c r="W244" s="6">
        <f>IFERROR(__xludf.DUMMYFUNCTION("""COMPUTED_VALUE"""),3.0)</f>
        <v>3</v>
      </c>
      <c r="X244" s="6" t="str">
        <f>IFERROR(__xludf.DUMMYFUNCTION("""COMPUTED_VALUE"""),"IRD")</f>
        <v>IRD</v>
      </c>
      <c r="Y244" s="6" t="s">
        <v>953</v>
      </c>
    </row>
    <row r="245">
      <c r="S245" s="6" t="str">
        <f>IFERROR(__xludf.DUMMYFUNCTION("""COMPUTED_VALUE"""),"PRD-210826-000034")</f>
        <v>PRD-210826-000034</v>
      </c>
      <c r="T245" s="6" t="str">
        <f>IFERROR(__xludf.DUMMYFUNCTION("""COMPUTED_VALUE"""),"21/08/2026 15:40")</f>
        <v>21/08/2026 15:40</v>
      </c>
      <c r="U245" s="6" t="str">
        <f>IFERROR(__xludf.DUMMYFUNCTION("""COMPUTED_VALUE"""),"Prima")</f>
        <v>Prima</v>
      </c>
      <c r="V245" s="6" t="str">
        <f>IFERROR(__xludf.DUMMYFUNCTION("""COMPUTED_VALUE"""),"Blouse")</f>
        <v>Blouse</v>
      </c>
      <c r="W245" s="6">
        <f>IFERROR(__xludf.DUMMYFUNCTION("""COMPUTED_VALUE"""),2.0)</f>
        <v>2</v>
      </c>
      <c r="X245" s="6" t="str">
        <f>IFERROR(__xludf.DUMMYFUNCTION("""COMPUTED_VALUE"""),"IRD")</f>
        <v>IRD</v>
      </c>
      <c r="Y245" s="6" t="s">
        <v>953</v>
      </c>
    </row>
    <row r="246">
      <c r="S246" s="6" t="str">
        <f>IFERROR(__xludf.DUMMYFUNCTION("""COMPUTED_VALUE"""),"PRD-210826-000035")</f>
        <v>PRD-210826-000035</v>
      </c>
      <c r="T246" s="6" t="str">
        <f>IFERROR(__xludf.DUMMYFUNCTION("""COMPUTED_VALUE"""),"21/08/2026 15:40")</f>
        <v>21/08/2026 15:40</v>
      </c>
      <c r="U246" s="6" t="str">
        <f>IFERROR(__xludf.DUMMYFUNCTION("""COMPUTED_VALUE"""),"Prima")</f>
        <v>Prima</v>
      </c>
      <c r="V246" s="6" t="str">
        <f>IFERROR(__xludf.DUMMYFUNCTION("""COMPUTED_VALUE"""),"Jacket")</f>
        <v>Jacket</v>
      </c>
      <c r="W246" s="6">
        <f>IFERROR(__xludf.DUMMYFUNCTION("""COMPUTED_VALUE"""),1.0)</f>
        <v>1</v>
      </c>
      <c r="X246" s="6" t="str">
        <f>IFERROR(__xludf.DUMMYFUNCTION("""COMPUTED_VALUE"""),"IRD")</f>
        <v>IRD</v>
      </c>
      <c r="Y246" s="6" t="s">
        <v>953</v>
      </c>
    </row>
    <row r="247">
      <c r="S247" s="6" t="str">
        <f>IFERROR(__xludf.DUMMYFUNCTION("""COMPUTED_VALUE"""),"PRD-210826-000036")</f>
        <v>PRD-210826-000036</v>
      </c>
      <c r="T247" s="6" t="str">
        <f>IFERROR(__xludf.DUMMYFUNCTION("""COMPUTED_VALUE"""),"21/08/2026 15:40")</f>
        <v>21/08/2026 15:40</v>
      </c>
      <c r="U247" s="6" t="str">
        <f>IFERROR(__xludf.DUMMYFUNCTION("""COMPUTED_VALUE"""),"Prima")</f>
        <v>Prima</v>
      </c>
      <c r="V247" s="6" t="str">
        <f>IFERROR(__xludf.DUMMYFUNCTION("""COMPUTED_VALUE"""),"Vest")</f>
        <v>Vest</v>
      </c>
      <c r="W247" s="6">
        <f>IFERROR(__xludf.DUMMYFUNCTION("""COMPUTED_VALUE"""),1.0)</f>
        <v>1</v>
      </c>
      <c r="X247" s="6" t="str">
        <f>IFERROR(__xludf.DUMMYFUNCTION("""COMPUTED_VALUE"""),"IRD")</f>
        <v>IRD</v>
      </c>
      <c r="Y247" s="6" t="s">
        <v>953</v>
      </c>
    </row>
    <row r="248">
      <c r="S248" s="6" t="str">
        <f>IFERROR(__xludf.DUMMYFUNCTION("""COMPUTED_VALUE"""),"PRD-210826-000037")</f>
        <v>PRD-210826-000037</v>
      </c>
      <c r="T248" s="6" t="str">
        <f>IFERROR(__xludf.DUMMYFUNCTION("""COMPUTED_VALUE"""),"21/08/2026 15:41")</f>
        <v>21/08/2026 15:41</v>
      </c>
      <c r="U248" s="6" t="str">
        <f>IFERROR(__xludf.DUMMYFUNCTION("""COMPUTED_VALUE"""),"Prima")</f>
        <v>Prima</v>
      </c>
      <c r="V248" s="6" t="str">
        <f>IFERROR(__xludf.DUMMYFUNCTION("""COMPUTED_VALUE"""),"Trousers")</f>
        <v>Trousers</v>
      </c>
      <c r="W248" s="6">
        <f>IFERROR(__xludf.DUMMYFUNCTION("""COMPUTED_VALUE"""),5.0)</f>
        <v>5</v>
      </c>
      <c r="X248" s="6" t="str">
        <f>IFERROR(__xludf.DUMMYFUNCTION("""COMPUTED_VALUE"""),"Cinnamon")</f>
        <v>Cinnamon</v>
      </c>
      <c r="Y248" s="6" t="s">
        <v>953</v>
      </c>
    </row>
    <row r="249">
      <c r="S249" s="6" t="str">
        <f>IFERROR(__xludf.DUMMYFUNCTION("""COMPUTED_VALUE"""),"PRD-210826-000038")</f>
        <v>PRD-210826-000038</v>
      </c>
      <c r="T249" s="6" t="str">
        <f>IFERROR(__xludf.DUMMYFUNCTION("""COMPUTED_VALUE"""),"21/08/2026 15:41")</f>
        <v>21/08/2026 15:41</v>
      </c>
      <c r="U249" s="6" t="str">
        <f>IFERROR(__xludf.DUMMYFUNCTION("""COMPUTED_VALUE"""),"Prima")</f>
        <v>Prima</v>
      </c>
      <c r="V249" s="6" t="str">
        <f>IFERROR(__xludf.DUMMYFUNCTION("""COMPUTED_VALUE"""),"Shirt")</f>
        <v>Shirt</v>
      </c>
      <c r="W249" s="6">
        <f>IFERROR(__xludf.DUMMYFUNCTION("""COMPUTED_VALUE"""),4.0)</f>
        <v>4</v>
      </c>
      <c r="X249" s="6" t="str">
        <f>IFERROR(__xludf.DUMMYFUNCTION("""COMPUTED_VALUE"""),"Cinnamon")</f>
        <v>Cinnamon</v>
      </c>
      <c r="Y249" s="6" t="s">
        <v>953</v>
      </c>
    </row>
    <row r="250">
      <c r="S250" s="6" t="str">
        <f>IFERROR(__xludf.DUMMYFUNCTION("""COMPUTED_VALUE"""),"PRD-210826-000039")</f>
        <v>PRD-210826-000039</v>
      </c>
      <c r="T250" s="6" t="str">
        <f>IFERROR(__xludf.DUMMYFUNCTION("""COMPUTED_VALUE"""),"21/08/2026 15:41")</f>
        <v>21/08/2026 15:41</v>
      </c>
      <c r="U250" s="6" t="str">
        <f>IFERROR(__xludf.DUMMYFUNCTION("""COMPUTED_VALUE"""),"Prima")</f>
        <v>Prima</v>
      </c>
      <c r="V250" s="6" t="str">
        <f>IFERROR(__xludf.DUMMYFUNCTION("""COMPUTED_VALUE"""),"Blouse")</f>
        <v>Blouse</v>
      </c>
      <c r="W250" s="6">
        <f>IFERROR(__xludf.DUMMYFUNCTION("""COMPUTED_VALUE"""),7.0)</f>
        <v>7</v>
      </c>
      <c r="X250" s="6" t="str">
        <f>IFERROR(__xludf.DUMMYFUNCTION("""COMPUTED_VALUE"""),"Cinnamon")</f>
        <v>Cinnamon</v>
      </c>
      <c r="Y250" s="6" t="s">
        <v>953</v>
      </c>
    </row>
    <row r="251">
      <c r="S251" s="6" t="str">
        <f>IFERROR(__xludf.DUMMYFUNCTION("""COMPUTED_VALUE"""),"PRD-210826-000040")</f>
        <v>PRD-210826-000040</v>
      </c>
      <c r="T251" s="6" t="str">
        <f>IFERROR(__xludf.DUMMYFUNCTION("""COMPUTED_VALUE"""),"21/08/2026 15:41")</f>
        <v>21/08/2026 15:41</v>
      </c>
      <c r="U251" s="6" t="str">
        <f>IFERROR(__xludf.DUMMYFUNCTION("""COMPUTED_VALUE"""),"Prima")</f>
        <v>Prima</v>
      </c>
      <c r="V251" s="6" t="str">
        <f>IFERROR(__xludf.DUMMYFUNCTION("""COMPUTED_VALUE"""),"Jacket")</f>
        <v>Jacket</v>
      </c>
      <c r="W251" s="6">
        <f>IFERROR(__xludf.DUMMYFUNCTION("""COMPUTED_VALUE"""),1.0)</f>
        <v>1</v>
      </c>
      <c r="X251" s="6" t="str">
        <f>IFERROR(__xludf.DUMMYFUNCTION("""COMPUTED_VALUE"""),"Cinnamon")</f>
        <v>Cinnamon</v>
      </c>
      <c r="Y251" s="6" t="s">
        <v>953</v>
      </c>
    </row>
    <row r="252">
      <c r="S252" s="6" t="str">
        <f>IFERROR(__xludf.DUMMYFUNCTION("""COMPUTED_VALUE"""),"PRD-210826-000041")</f>
        <v>PRD-210826-000041</v>
      </c>
      <c r="T252" s="6" t="str">
        <f>IFERROR(__xludf.DUMMYFUNCTION("""COMPUTED_VALUE"""),"21/08/2026 15:41")</f>
        <v>21/08/2026 15:41</v>
      </c>
      <c r="U252" s="6" t="str">
        <f>IFERROR(__xludf.DUMMYFUNCTION("""COMPUTED_VALUE"""),"Prima")</f>
        <v>Prima</v>
      </c>
      <c r="V252" s="6" t="str">
        <f>IFERROR(__xludf.DUMMYFUNCTION("""COMPUTED_VALUE"""),"Vest")</f>
        <v>Vest</v>
      </c>
      <c r="W252" s="6">
        <f>IFERROR(__xludf.DUMMYFUNCTION("""COMPUTED_VALUE"""),4.0)</f>
        <v>4</v>
      </c>
      <c r="X252" s="6" t="str">
        <f>IFERROR(__xludf.DUMMYFUNCTION("""COMPUTED_VALUE"""),"Cinnamon")</f>
        <v>Cinnamon</v>
      </c>
      <c r="Y252" s="6" t="s">
        <v>953</v>
      </c>
    </row>
    <row r="253">
      <c r="S253" s="6" t="str">
        <f>IFERROR(__xludf.DUMMYFUNCTION("""COMPUTED_VALUE"""),"PRD-210826-000042")</f>
        <v>PRD-210826-000042</v>
      </c>
      <c r="T253" s="6" t="str">
        <f>IFERROR(__xludf.DUMMYFUNCTION("""COMPUTED_VALUE"""),"21/08/2026 15:42")</f>
        <v>21/08/2026 15:42</v>
      </c>
      <c r="U253" s="6" t="str">
        <f>IFERROR(__xludf.DUMMYFUNCTION("""COMPUTED_VALUE"""),"Prima")</f>
        <v>Prima</v>
      </c>
      <c r="V253" s="6" t="str">
        <f>IFERROR(__xludf.DUMMYFUNCTION("""COMPUTED_VALUE"""),"Trousers")</f>
        <v>Trousers</v>
      </c>
      <c r="W253" s="6">
        <f>IFERROR(__xludf.DUMMYFUNCTION("""COMPUTED_VALUE"""),1.0)</f>
        <v>1</v>
      </c>
      <c r="X253" s="6" t="str">
        <f>IFERROR(__xludf.DUMMYFUNCTION("""COMPUTED_VALUE"""),"LiFeng")</f>
        <v>LiFeng</v>
      </c>
      <c r="Y253" s="6" t="s">
        <v>953</v>
      </c>
    </row>
    <row r="254">
      <c r="S254" s="6" t="str">
        <f>IFERROR(__xludf.DUMMYFUNCTION("""COMPUTED_VALUE"""),"PRD-210826-000043")</f>
        <v>PRD-210826-000043</v>
      </c>
      <c r="T254" s="6" t="str">
        <f>IFERROR(__xludf.DUMMYFUNCTION("""COMPUTED_VALUE"""),"21/08/2026 15:42")</f>
        <v>21/08/2026 15:42</v>
      </c>
      <c r="U254" s="6" t="str">
        <f>IFERROR(__xludf.DUMMYFUNCTION("""COMPUTED_VALUE"""),"Prima")</f>
        <v>Prima</v>
      </c>
      <c r="V254" s="6" t="str">
        <f>IFERROR(__xludf.DUMMYFUNCTION("""COMPUTED_VALUE"""),"Blouse")</f>
        <v>Blouse</v>
      </c>
      <c r="W254" s="6">
        <f>IFERROR(__xludf.DUMMYFUNCTION("""COMPUTED_VALUE"""),1.0)</f>
        <v>1</v>
      </c>
      <c r="X254" s="6" t="str">
        <f>IFERROR(__xludf.DUMMYFUNCTION("""COMPUTED_VALUE"""),"LiFeng")</f>
        <v>LiFeng</v>
      </c>
      <c r="Y254" s="6" t="s">
        <v>953</v>
      </c>
    </row>
    <row r="255">
      <c r="S255" s="6" t="str">
        <f>IFERROR(__xludf.DUMMYFUNCTION("""COMPUTED_VALUE"""),"PRD-210826-000044")</f>
        <v>PRD-210826-000044</v>
      </c>
      <c r="T255" s="6" t="str">
        <f>IFERROR(__xludf.DUMMYFUNCTION("""COMPUTED_VALUE"""),"21/08/2026 15:42")</f>
        <v>21/08/2026 15:42</v>
      </c>
      <c r="U255" s="6" t="str">
        <f>IFERROR(__xludf.DUMMYFUNCTION("""COMPUTED_VALUE"""),"Prima")</f>
        <v>Prima</v>
      </c>
      <c r="V255" s="6" t="str">
        <f>IFERROR(__xludf.DUMMYFUNCTION("""COMPUTED_VALUE"""),"Dress")</f>
        <v>Dress</v>
      </c>
      <c r="W255" s="6">
        <f>IFERROR(__xludf.DUMMYFUNCTION("""COMPUTED_VALUE"""),3.0)</f>
        <v>3</v>
      </c>
      <c r="X255" s="6" t="str">
        <f>IFERROR(__xludf.DUMMYFUNCTION("""COMPUTED_VALUE"""),"LiFeng")</f>
        <v>LiFeng</v>
      </c>
      <c r="Y255" s="6" t="s">
        <v>953</v>
      </c>
    </row>
    <row r="256">
      <c r="S256" s="6" t="str">
        <f>IFERROR(__xludf.DUMMYFUNCTION("""COMPUTED_VALUE"""),"PRD-210826-000045")</f>
        <v>PRD-210826-000045</v>
      </c>
      <c r="T256" s="6" t="str">
        <f>IFERROR(__xludf.DUMMYFUNCTION("""COMPUTED_VALUE"""),"21/08/2026 15:42")</f>
        <v>21/08/2026 15:42</v>
      </c>
      <c r="U256" s="6" t="str">
        <f>IFERROR(__xludf.DUMMYFUNCTION("""COMPUTED_VALUE"""),"Prima")</f>
        <v>Prima</v>
      </c>
      <c r="V256" s="6" t="str">
        <f>IFERROR(__xludf.DUMMYFUNCTION("""COMPUTED_VALUE"""),"Trousers")</f>
        <v>Trousers</v>
      </c>
      <c r="W256" s="6">
        <f>IFERROR(__xludf.DUMMYFUNCTION("""COMPUTED_VALUE"""),1.0)</f>
        <v>1</v>
      </c>
      <c r="X256" s="6" t="str">
        <f>IFERROR(__xludf.DUMMYFUNCTION("""COMPUTED_VALUE"""),"MO Bar")</f>
        <v>MO Bar</v>
      </c>
      <c r="Y256" s="6" t="s">
        <v>953</v>
      </c>
    </row>
    <row r="257">
      <c r="S257" s="6" t="str">
        <f>IFERROR(__xludf.DUMMYFUNCTION("""COMPUTED_VALUE"""),"PRD-210826-000046")</f>
        <v>PRD-210826-000046</v>
      </c>
      <c r="T257" s="6" t="str">
        <f>IFERROR(__xludf.DUMMYFUNCTION("""COMPUTED_VALUE"""),"21/08/2026 15:42")</f>
        <v>21/08/2026 15:42</v>
      </c>
      <c r="U257" s="6" t="str">
        <f>IFERROR(__xludf.DUMMYFUNCTION("""COMPUTED_VALUE"""),"Prima")</f>
        <v>Prima</v>
      </c>
      <c r="V257" s="6" t="str">
        <f>IFERROR(__xludf.DUMMYFUNCTION("""COMPUTED_VALUE"""),"Shirt")</f>
        <v>Shirt</v>
      </c>
      <c r="W257" s="6">
        <f>IFERROR(__xludf.DUMMYFUNCTION("""COMPUTED_VALUE"""),1.0)</f>
        <v>1</v>
      </c>
      <c r="X257" s="6" t="str">
        <f>IFERROR(__xludf.DUMMYFUNCTION("""COMPUTED_VALUE"""),"MO Bar")</f>
        <v>MO Bar</v>
      </c>
      <c r="Y257" s="6" t="s">
        <v>953</v>
      </c>
    </row>
    <row r="258">
      <c r="S258" s="6" t="str">
        <f>IFERROR(__xludf.DUMMYFUNCTION("""COMPUTED_VALUE"""),"PRD-210826-000047")</f>
        <v>PRD-210826-000047</v>
      </c>
      <c r="T258" s="6" t="str">
        <f>IFERROR(__xludf.DUMMYFUNCTION("""COMPUTED_VALUE"""),"21/08/2026 15:42")</f>
        <v>21/08/2026 15:42</v>
      </c>
      <c r="U258" s="6" t="str">
        <f>IFERROR(__xludf.DUMMYFUNCTION("""COMPUTED_VALUE"""),"Prima")</f>
        <v>Prima</v>
      </c>
      <c r="V258" s="6" t="str">
        <f>IFERROR(__xludf.DUMMYFUNCTION("""COMPUTED_VALUE"""),"Dress")</f>
        <v>Dress</v>
      </c>
      <c r="W258" s="6">
        <f>IFERROR(__xludf.DUMMYFUNCTION("""COMPUTED_VALUE"""),1.0)</f>
        <v>1</v>
      </c>
      <c r="X258" s="6" t="str">
        <f>IFERROR(__xludf.DUMMYFUNCTION("""COMPUTED_VALUE"""),"MO Bar")</f>
        <v>MO Bar</v>
      </c>
      <c r="Y258" s="6" t="s">
        <v>953</v>
      </c>
    </row>
    <row r="259">
      <c r="S259" s="6" t="str">
        <f>IFERROR(__xludf.DUMMYFUNCTION("""COMPUTED_VALUE"""),"PRD-210826-000048")</f>
        <v>PRD-210826-000048</v>
      </c>
      <c r="T259" s="6" t="str">
        <f>IFERROR(__xludf.DUMMYFUNCTION("""COMPUTED_VALUE"""),"21/08/2026 15:43")</f>
        <v>21/08/2026 15:43</v>
      </c>
      <c r="U259" s="6" t="str">
        <f>IFERROR(__xludf.DUMMYFUNCTION("""COMPUTED_VALUE"""),"Prima")</f>
        <v>Prima</v>
      </c>
      <c r="V259" s="6" t="str">
        <f>IFERROR(__xludf.DUMMYFUNCTION("""COMPUTED_VALUE"""),"Trousers")</f>
        <v>Trousers</v>
      </c>
      <c r="W259" s="6">
        <f>IFERROR(__xludf.DUMMYFUNCTION("""COMPUTED_VALUE"""),7.0)</f>
        <v>7</v>
      </c>
      <c r="X259" s="6" t="str">
        <f>IFERROR(__xludf.DUMMYFUNCTION("""COMPUTED_VALUE"""),"Banquet")</f>
        <v>Banquet</v>
      </c>
      <c r="Y259" s="6" t="s">
        <v>953</v>
      </c>
    </row>
    <row r="260">
      <c r="S260" s="6" t="str">
        <f>IFERROR(__xludf.DUMMYFUNCTION("""COMPUTED_VALUE"""),"PRD-210826-000049")</f>
        <v>PRD-210826-000049</v>
      </c>
      <c r="T260" s="6" t="str">
        <f>IFERROR(__xludf.DUMMYFUNCTION("""COMPUTED_VALUE"""),"21/08/2026 15:43")</f>
        <v>21/08/2026 15:43</v>
      </c>
      <c r="U260" s="6" t="str">
        <f>IFERROR(__xludf.DUMMYFUNCTION("""COMPUTED_VALUE"""),"Prima")</f>
        <v>Prima</v>
      </c>
      <c r="V260" s="6" t="str">
        <f>IFERROR(__xludf.DUMMYFUNCTION("""COMPUTED_VALUE"""),"Shirt")</f>
        <v>Shirt</v>
      </c>
      <c r="W260" s="6">
        <f>IFERROR(__xludf.DUMMYFUNCTION("""COMPUTED_VALUE"""),10.0)</f>
        <v>10</v>
      </c>
      <c r="X260" s="6" t="str">
        <f>IFERROR(__xludf.DUMMYFUNCTION("""COMPUTED_VALUE"""),"Banquet")</f>
        <v>Banquet</v>
      </c>
      <c r="Y260" s="6" t="s">
        <v>953</v>
      </c>
    </row>
    <row r="261">
      <c r="S261" s="6" t="str">
        <f>IFERROR(__xludf.DUMMYFUNCTION("""COMPUTED_VALUE"""),"PRD-210826-000050")</f>
        <v>PRD-210826-000050</v>
      </c>
      <c r="T261" s="6" t="str">
        <f>IFERROR(__xludf.DUMMYFUNCTION("""COMPUTED_VALUE"""),"21/08/2026 15:45")</f>
        <v>21/08/2026 15:45</v>
      </c>
      <c r="U261" s="6" t="str">
        <f>IFERROR(__xludf.DUMMYFUNCTION("""COMPUTED_VALUE"""),"Prima")</f>
        <v>Prima</v>
      </c>
      <c r="V261" s="6" t="str">
        <f>IFERROR(__xludf.DUMMYFUNCTION("""COMPUTED_VALUE"""),"Trousers")</f>
        <v>Trousers</v>
      </c>
      <c r="W261" s="6">
        <f>IFERROR(__xludf.DUMMYFUNCTION("""COMPUTED_VALUE"""),70.0)</f>
        <v>70</v>
      </c>
      <c r="X261" s="6" t="str">
        <f>IFERROR(__xludf.DUMMYFUNCTION("""COMPUTED_VALUE"""),"Kitchen / Culinary")</f>
        <v>Kitchen / Culinary</v>
      </c>
      <c r="Y261" s="6" t="s">
        <v>953</v>
      </c>
    </row>
    <row r="262">
      <c r="S262" s="6" t="str">
        <f>IFERROR(__xludf.DUMMYFUNCTION("""COMPUTED_VALUE"""),"PRD-210826-000051")</f>
        <v>PRD-210826-000051</v>
      </c>
      <c r="T262" s="6" t="str">
        <f>IFERROR(__xludf.DUMMYFUNCTION("""COMPUTED_VALUE"""),"21/08/2026 15:45")</f>
        <v>21/08/2026 15:45</v>
      </c>
      <c r="U262" s="6" t="str">
        <f>IFERROR(__xludf.DUMMYFUNCTION("""COMPUTED_VALUE"""),"Prima")</f>
        <v>Prima</v>
      </c>
      <c r="V262" s="6" t="str">
        <f>IFERROR(__xludf.DUMMYFUNCTION("""COMPUTED_VALUE"""),"Cook Jacket")</f>
        <v>Cook Jacket</v>
      </c>
      <c r="W262" s="6">
        <f>IFERROR(__xludf.DUMMYFUNCTION("""COMPUTED_VALUE"""),60.0)</f>
        <v>60</v>
      </c>
      <c r="X262" s="6" t="str">
        <f>IFERROR(__xludf.DUMMYFUNCTION("""COMPUTED_VALUE"""),"Kitchen / Culinary")</f>
        <v>Kitchen / Culinary</v>
      </c>
      <c r="Y262" s="6" t="s">
        <v>953</v>
      </c>
    </row>
    <row r="263">
      <c r="S263" s="6" t="str">
        <f>IFERROR(__xludf.DUMMYFUNCTION("""COMPUTED_VALUE"""),"PRD-210826-000052")</f>
        <v>PRD-210826-000052</v>
      </c>
      <c r="T263" s="6" t="str">
        <f>IFERROR(__xludf.DUMMYFUNCTION("""COMPUTED_VALUE"""),"21/08/2026 15:45")</f>
        <v>21/08/2026 15:45</v>
      </c>
      <c r="U263" s="6" t="str">
        <f>IFERROR(__xludf.DUMMYFUNCTION("""COMPUTED_VALUE"""),"Prima")</f>
        <v>Prima</v>
      </c>
      <c r="V263" s="6" t="str">
        <f>IFERROR(__xludf.DUMMYFUNCTION("""COMPUTED_VALUE"""),"Apron")</f>
        <v>Apron</v>
      </c>
      <c r="W263" s="6">
        <f>IFERROR(__xludf.DUMMYFUNCTION("""COMPUTED_VALUE"""),75.0)</f>
        <v>75</v>
      </c>
      <c r="X263" s="6" t="str">
        <f>IFERROR(__xludf.DUMMYFUNCTION("""COMPUTED_VALUE"""),"Kitchen / Culinary")</f>
        <v>Kitchen / Culinary</v>
      </c>
      <c r="Y263" s="6" t="s">
        <v>953</v>
      </c>
    </row>
    <row r="264">
      <c r="S264" s="6" t="str">
        <f>IFERROR(__xludf.DUMMYFUNCTION("""COMPUTED_VALUE"""),"PRD-210826-000053")</f>
        <v>PRD-210826-000053</v>
      </c>
      <c r="T264" s="6" t="str">
        <f>IFERROR(__xludf.DUMMYFUNCTION("""COMPUTED_VALUE"""),"21/08/2026 15:45")</f>
        <v>21/08/2026 15:45</v>
      </c>
      <c r="U264" s="6" t="str">
        <f>IFERROR(__xludf.DUMMYFUNCTION("""COMPUTED_VALUE"""),"Prima")</f>
        <v>Prima</v>
      </c>
      <c r="V264" s="6" t="str">
        <f>IFERROR(__xludf.DUMMYFUNCTION("""COMPUTED_VALUE"""),"Trousers")</f>
        <v>Trousers</v>
      </c>
      <c r="W264" s="6">
        <f>IFERROR(__xludf.DUMMYFUNCTION("""COMPUTED_VALUE"""),3.0)</f>
        <v>3</v>
      </c>
      <c r="X264" s="6" t="str">
        <f>IFERROR(__xludf.DUMMYFUNCTION("""COMPUTED_VALUE"""),"Steward")</f>
        <v>Steward</v>
      </c>
      <c r="Y264" s="6" t="s">
        <v>953</v>
      </c>
    </row>
    <row r="265">
      <c r="S265" s="6" t="str">
        <f>IFERROR(__xludf.DUMMYFUNCTION("""COMPUTED_VALUE"""),"PRD-210826-000054")</f>
        <v>PRD-210826-000054</v>
      </c>
      <c r="T265" s="6" t="str">
        <f>IFERROR(__xludf.DUMMYFUNCTION("""COMPUTED_VALUE"""),"21/08/2026 15:45")</f>
        <v>21/08/2026 15:45</v>
      </c>
      <c r="U265" s="6" t="str">
        <f>IFERROR(__xludf.DUMMYFUNCTION("""COMPUTED_VALUE"""),"Prima")</f>
        <v>Prima</v>
      </c>
      <c r="V265" s="6" t="str">
        <f>IFERROR(__xludf.DUMMYFUNCTION("""COMPUTED_VALUE"""),"Polo Shirt")</f>
        <v>Polo Shirt</v>
      </c>
      <c r="W265" s="6">
        <f>IFERROR(__xludf.DUMMYFUNCTION("""COMPUTED_VALUE"""),17.0)</f>
        <v>17</v>
      </c>
      <c r="X265" s="6" t="str">
        <f>IFERROR(__xludf.DUMMYFUNCTION("""COMPUTED_VALUE"""),"Steward")</f>
        <v>Steward</v>
      </c>
      <c r="Y265" s="6" t="s">
        <v>953</v>
      </c>
    </row>
    <row r="266">
      <c r="S266" s="6" t="str">
        <f>IFERROR(__xludf.DUMMYFUNCTION("""COMPUTED_VALUE"""),"PRD-210826-000055")</f>
        <v>PRD-210826-000055</v>
      </c>
      <c r="T266" s="6" t="str">
        <f>IFERROR(__xludf.DUMMYFUNCTION("""COMPUTED_VALUE"""),"21/08/2026 15:46")</f>
        <v>21/08/2026 15:46</v>
      </c>
      <c r="U266" s="6" t="str">
        <f>IFERROR(__xludf.DUMMYFUNCTION("""COMPUTED_VALUE"""),"Prima")</f>
        <v>Prima</v>
      </c>
      <c r="V266" s="6" t="str">
        <f>IFERROR(__xludf.DUMMYFUNCTION("""COMPUTED_VALUE"""),"Trousers")</f>
        <v>Trousers</v>
      </c>
      <c r="W266" s="6">
        <f>IFERROR(__xludf.DUMMYFUNCTION("""COMPUTED_VALUE"""),2.0)</f>
        <v>2</v>
      </c>
      <c r="X266" s="6" t="str">
        <f>IFERROR(__xludf.DUMMYFUNCTION("""COMPUTED_VALUE"""),"IT")</f>
        <v>IT</v>
      </c>
      <c r="Y266" s="6" t="s">
        <v>953</v>
      </c>
    </row>
    <row r="267">
      <c r="S267" s="6" t="str">
        <f>IFERROR(__xludf.DUMMYFUNCTION("""COMPUTED_VALUE"""),"PRD-210826-000056")</f>
        <v>PRD-210826-000056</v>
      </c>
      <c r="T267" s="6" t="str">
        <f>IFERROR(__xludf.DUMMYFUNCTION("""COMPUTED_VALUE"""),"21/08/2026 15:46")</f>
        <v>21/08/2026 15:46</v>
      </c>
      <c r="U267" s="6" t="str">
        <f>IFERROR(__xludf.DUMMYFUNCTION("""COMPUTED_VALUE"""),"Prima")</f>
        <v>Prima</v>
      </c>
      <c r="V267" s="6" t="str">
        <f>IFERROR(__xludf.DUMMYFUNCTION("""COMPUTED_VALUE"""),"Shirt")</f>
        <v>Shirt</v>
      </c>
      <c r="W267" s="6">
        <f>IFERROR(__xludf.DUMMYFUNCTION("""COMPUTED_VALUE"""),2.0)</f>
        <v>2</v>
      </c>
      <c r="X267" s="6" t="str">
        <f>IFERROR(__xludf.DUMMYFUNCTION("""COMPUTED_VALUE"""),"IT")</f>
        <v>IT</v>
      </c>
      <c r="Y267" s="6" t="s">
        <v>953</v>
      </c>
    </row>
    <row r="268">
      <c r="S268" s="6" t="str">
        <f>IFERROR(__xludf.DUMMYFUNCTION("""COMPUTED_VALUE"""),"PRD-210826-000057")</f>
        <v>PRD-210826-000057</v>
      </c>
      <c r="T268" s="6" t="str">
        <f>IFERROR(__xludf.DUMMYFUNCTION("""COMPUTED_VALUE"""),"21/08/2026 15:48")</f>
        <v>21/08/2026 15:48</v>
      </c>
      <c r="U268" s="6" t="str">
        <f>IFERROR(__xludf.DUMMYFUNCTION("""COMPUTED_VALUE"""),"Prima")</f>
        <v>Prima</v>
      </c>
      <c r="V268" s="6" t="str">
        <f>IFERROR(__xludf.DUMMYFUNCTION("""COMPUTED_VALUE"""),"Trousers")</f>
        <v>Trousers</v>
      </c>
      <c r="W268" s="6">
        <f>IFERROR(__xludf.DUMMYFUNCTION("""COMPUTED_VALUE"""),8.0)</f>
        <v>8</v>
      </c>
      <c r="X268" s="6" t="str">
        <f>IFERROR(__xludf.DUMMYFUNCTION("""COMPUTED_VALUE"""),"Finance")</f>
        <v>Finance</v>
      </c>
      <c r="Y268" s="6" t="s">
        <v>953</v>
      </c>
    </row>
    <row r="269">
      <c r="S269" s="6" t="str">
        <f>IFERROR(__xludf.DUMMYFUNCTION("""COMPUTED_VALUE"""),"PRD-210826-000058")</f>
        <v>PRD-210826-000058</v>
      </c>
      <c r="T269" s="6" t="str">
        <f>IFERROR(__xludf.DUMMYFUNCTION("""COMPUTED_VALUE"""),"21/08/2026 15:48")</f>
        <v>21/08/2026 15:48</v>
      </c>
      <c r="U269" s="6" t="str">
        <f>IFERROR(__xludf.DUMMYFUNCTION("""COMPUTED_VALUE"""),"Prima")</f>
        <v>Prima</v>
      </c>
      <c r="V269" s="6" t="str">
        <f>IFERROR(__xludf.DUMMYFUNCTION("""COMPUTED_VALUE"""),"Blouse")</f>
        <v>Blouse</v>
      </c>
      <c r="W269" s="6">
        <f>IFERROR(__xludf.DUMMYFUNCTION("""COMPUTED_VALUE"""),11.0)</f>
        <v>11</v>
      </c>
      <c r="X269" s="6" t="str">
        <f>IFERROR(__xludf.DUMMYFUNCTION("""COMPUTED_VALUE"""),"Finance")</f>
        <v>Finance</v>
      </c>
      <c r="Y269" s="6" t="s">
        <v>953</v>
      </c>
    </row>
    <row r="270">
      <c r="S270" s="6" t="str">
        <f>IFERROR(__xludf.DUMMYFUNCTION("""COMPUTED_VALUE"""),"PRD-210826-000059")</f>
        <v>PRD-210826-000059</v>
      </c>
      <c r="T270" s="6" t="str">
        <f>IFERROR(__xludf.DUMMYFUNCTION("""COMPUTED_VALUE"""),"21/08/2026 15:48")</f>
        <v>21/08/2026 15:48</v>
      </c>
      <c r="U270" s="6" t="str">
        <f>IFERROR(__xludf.DUMMYFUNCTION("""COMPUTED_VALUE"""),"Prima")</f>
        <v>Prima</v>
      </c>
      <c r="V270" s="6" t="str">
        <f>IFERROR(__xludf.DUMMYFUNCTION("""COMPUTED_VALUE"""),"Jacket")</f>
        <v>Jacket</v>
      </c>
      <c r="W270" s="6">
        <f>IFERROR(__xludf.DUMMYFUNCTION("""COMPUTED_VALUE"""),3.0)</f>
        <v>3</v>
      </c>
      <c r="X270" s="6" t="str">
        <f>IFERROR(__xludf.DUMMYFUNCTION("""COMPUTED_VALUE"""),"Finance")</f>
        <v>Finance</v>
      </c>
      <c r="Y270" s="6" t="s">
        <v>953</v>
      </c>
    </row>
    <row r="271">
      <c r="S271" s="6" t="str">
        <f>IFERROR(__xludf.DUMMYFUNCTION("""COMPUTED_VALUE"""),"PRD-210826-000060")</f>
        <v>PRD-210826-000060</v>
      </c>
      <c r="T271" s="6" t="str">
        <f>IFERROR(__xludf.DUMMYFUNCTION("""COMPUTED_VALUE"""),"21/08/2026 15:49")</f>
        <v>21/08/2026 15:49</v>
      </c>
      <c r="U271" s="6" t="str">
        <f>IFERROR(__xludf.DUMMYFUNCTION("""COMPUTED_VALUE"""),"Prima")</f>
        <v>Prima</v>
      </c>
      <c r="V271" s="6" t="str">
        <f>IFERROR(__xludf.DUMMYFUNCTION("""COMPUTED_VALUE"""),"Trousers")</f>
        <v>Trousers</v>
      </c>
      <c r="W271" s="6">
        <f>IFERROR(__xludf.DUMMYFUNCTION("""COMPUTED_VALUE"""),8.0)</f>
        <v>8</v>
      </c>
      <c r="X271" s="6" t="str">
        <f>IFERROR(__xludf.DUMMYFUNCTION("""COMPUTED_VALUE"""),"Purchasing")</f>
        <v>Purchasing</v>
      </c>
      <c r="Y271" s="6" t="s">
        <v>953</v>
      </c>
    </row>
    <row r="272">
      <c r="S272" s="6" t="str">
        <f>IFERROR(__xludf.DUMMYFUNCTION("""COMPUTED_VALUE"""),"PRD-210826-000061")</f>
        <v>PRD-210826-000061</v>
      </c>
      <c r="T272" s="6" t="str">
        <f>IFERROR(__xludf.DUMMYFUNCTION("""COMPUTED_VALUE"""),"21/08/2026 15:49")</f>
        <v>21/08/2026 15:49</v>
      </c>
      <c r="U272" s="6" t="str">
        <f>IFERROR(__xludf.DUMMYFUNCTION("""COMPUTED_VALUE"""),"Prima")</f>
        <v>Prima</v>
      </c>
      <c r="V272" s="6" t="str">
        <f>IFERROR(__xludf.DUMMYFUNCTION("""COMPUTED_VALUE"""),"Shirt")</f>
        <v>Shirt</v>
      </c>
      <c r="W272" s="6">
        <f>IFERROR(__xludf.DUMMYFUNCTION("""COMPUTED_VALUE"""),8.0)</f>
        <v>8</v>
      </c>
      <c r="X272" s="6" t="str">
        <f>IFERROR(__xludf.DUMMYFUNCTION("""COMPUTED_VALUE"""),"Purchasing")</f>
        <v>Purchasing</v>
      </c>
      <c r="Y272" s="6" t="s">
        <v>953</v>
      </c>
    </row>
    <row r="273">
      <c r="S273" s="6" t="str">
        <f>IFERROR(__xludf.DUMMYFUNCTION("""COMPUTED_VALUE"""),"PRD-210826-000062")</f>
        <v>PRD-210826-000062</v>
      </c>
      <c r="T273" s="6" t="str">
        <f>IFERROR(__xludf.DUMMYFUNCTION("""COMPUTED_VALUE"""),"21/08/2026 15:50")</f>
        <v>21/08/2026 15:50</v>
      </c>
      <c r="U273" s="6" t="str">
        <f>IFERROR(__xludf.DUMMYFUNCTION("""COMPUTED_VALUE"""),"Prima")</f>
        <v>Prima</v>
      </c>
      <c r="V273" s="6" t="str">
        <f>IFERROR(__xludf.DUMMYFUNCTION("""COMPUTED_VALUE"""),"Trousers")</f>
        <v>Trousers</v>
      </c>
      <c r="W273" s="6">
        <f>IFERROR(__xludf.DUMMYFUNCTION("""COMPUTED_VALUE"""),4.0)</f>
        <v>4</v>
      </c>
      <c r="X273" s="6" t="str">
        <f>IFERROR(__xludf.DUMMYFUNCTION("""COMPUTED_VALUE"""),"P&amp;C")</f>
        <v>P&amp;C</v>
      </c>
      <c r="Y273" s="6" t="s">
        <v>953</v>
      </c>
    </row>
    <row r="274">
      <c r="S274" s="6" t="str">
        <f>IFERROR(__xludf.DUMMYFUNCTION("""COMPUTED_VALUE"""),"PRD-210826-000063")</f>
        <v>PRD-210826-000063</v>
      </c>
      <c r="T274" s="6" t="str">
        <f>IFERROR(__xludf.DUMMYFUNCTION("""COMPUTED_VALUE"""),"21/08/2026 15:50")</f>
        <v>21/08/2026 15:50</v>
      </c>
      <c r="U274" s="6" t="str">
        <f>IFERROR(__xludf.DUMMYFUNCTION("""COMPUTED_VALUE"""),"Prima")</f>
        <v>Prima</v>
      </c>
      <c r="V274" s="6" t="str">
        <f>IFERROR(__xludf.DUMMYFUNCTION("""COMPUTED_VALUE"""),"Blouse")</f>
        <v>Blouse</v>
      </c>
      <c r="W274" s="6">
        <f>IFERROR(__xludf.DUMMYFUNCTION("""COMPUTED_VALUE"""),3.0)</f>
        <v>3</v>
      </c>
      <c r="X274" s="6" t="str">
        <f>IFERROR(__xludf.DUMMYFUNCTION("""COMPUTED_VALUE"""),"P&amp;C")</f>
        <v>P&amp;C</v>
      </c>
      <c r="Y274" s="6" t="s">
        <v>953</v>
      </c>
    </row>
    <row r="275">
      <c r="S275" s="6" t="str">
        <f>IFERROR(__xludf.DUMMYFUNCTION("""COMPUTED_VALUE"""),"PRD-210826-000064")</f>
        <v>PRD-210826-000064</v>
      </c>
      <c r="T275" s="6" t="str">
        <f>IFERROR(__xludf.DUMMYFUNCTION("""COMPUTED_VALUE"""),"21/08/2026 15:50")</f>
        <v>21/08/2026 15:50</v>
      </c>
      <c r="U275" s="6" t="str">
        <f>IFERROR(__xludf.DUMMYFUNCTION("""COMPUTED_VALUE"""),"Prima")</f>
        <v>Prima</v>
      </c>
      <c r="V275" s="6" t="str">
        <f>IFERROR(__xludf.DUMMYFUNCTION("""COMPUTED_VALUE"""),"Jacket")</f>
        <v>Jacket</v>
      </c>
      <c r="W275" s="6">
        <f>IFERROR(__xludf.DUMMYFUNCTION("""COMPUTED_VALUE"""),4.0)</f>
        <v>4</v>
      </c>
      <c r="X275" s="6" t="str">
        <f>IFERROR(__xludf.DUMMYFUNCTION("""COMPUTED_VALUE"""),"P&amp;C")</f>
        <v>P&amp;C</v>
      </c>
      <c r="Y275" s="6" t="s">
        <v>953</v>
      </c>
    </row>
    <row r="276">
      <c r="S276" s="6" t="str">
        <f>IFERROR(__xludf.DUMMYFUNCTION("""COMPUTED_VALUE"""),"PRD-210826-000065")</f>
        <v>PRD-210826-000065</v>
      </c>
      <c r="T276" s="6" t="str">
        <f>IFERROR(__xludf.DUMMYFUNCTION("""COMPUTED_VALUE"""),"21/08/2026 15:51")</f>
        <v>21/08/2026 15:51</v>
      </c>
      <c r="U276" s="6" t="str">
        <f>IFERROR(__xludf.DUMMYFUNCTION("""COMPUTED_VALUE"""),"Prima")</f>
        <v>Prima</v>
      </c>
      <c r="V276" s="6" t="str">
        <f>IFERROR(__xludf.DUMMYFUNCTION("""COMPUTED_VALUE"""),"Trousers")</f>
        <v>Trousers</v>
      </c>
      <c r="W276" s="6">
        <f>IFERROR(__xludf.DUMMYFUNCTION("""COMPUTED_VALUE"""),2.0)</f>
        <v>2</v>
      </c>
      <c r="X276" s="6" t="str">
        <f>IFERROR(__xludf.DUMMYFUNCTION("""COMPUTED_VALUE"""),"Sales &amp; Executive")</f>
        <v>Sales &amp; Executive</v>
      </c>
      <c r="Y276" s="6" t="s">
        <v>953</v>
      </c>
    </row>
    <row r="277">
      <c r="S277" s="6" t="str">
        <f>IFERROR(__xludf.DUMMYFUNCTION("""COMPUTED_VALUE"""),"PRD-210826-000066")</f>
        <v>PRD-210826-000066</v>
      </c>
      <c r="T277" s="6" t="str">
        <f>IFERROR(__xludf.DUMMYFUNCTION("""COMPUTED_VALUE"""),"21/08/2026 15:51")</f>
        <v>21/08/2026 15:51</v>
      </c>
      <c r="U277" s="6" t="str">
        <f>IFERROR(__xludf.DUMMYFUNCTION("""COMPUTED_VALUE"""),"Prima")</f>
        <v>Prima</v>
      </c>
      <c r="V277" s="6" t="str">
        <f>IFERROR(__xludf.DUMMYFUNCTION("""COMPUTED_VALUE"""),"Blouse")</f>
        <v>Blouse</v>
      </c>
      <c r="W277" s="6">
        <f>IFERROR(__xludf.DUMMYFUNCTION("""COMPUTED_VALUE"""),4.0)</f>
        <v>4</v>
      </c>
      <c r="X277" s="6" t="str">
        <f>IFERROR(__xludf.DUMMYFUNCTION("""COMPUTED_VALUE"""),"Sales &amp; Executive")</f>
        <v>Sales &amp; Executive</v>
      </c>
      <c r="Y277" s="6" t="s">
        <v>953</v>
      </c>
    </row>
    <row r="278">
      <c r="S278" s="6" t="str">
        <f>IFERROR(__xludf.DUMMYFUNCTION("""COMPUTED_VALUE"""),"PRD-210826-000067")</f>
        <v>PRD-210826-000067</v>
      </c>
      <c r="T278" s="6" t="str">
        <f>IFERROR(__xludf.DUMMYFUNCTION("""COMPUTED_VALUE"""),"21/08/2026 15:51")</f>
        <v>21/08/2026 15:51</v>
      </c>
      <c r="U278" s="6" t="str">
        <f>IFERROR(__xludf.DUMMYFUNCTION("""COMPUTED_VALUE"""),"Prima")</f>
        <v>Prima</v>
      </c>
      <c r="V278" s="6" t="str">
        <f>IFERROR(__xludf.DUMMYFUNCTION("""COMPUTED_VALUE"""),"Jacket")</f>
        <v>Jacket</v>
      </c>
      <c r="W278" s="6">
        <f>IFERROR(__xludf.DUMMYFUNCTION("""COMPUTED_VALUE"""),3.0)</f>
        <v>3</v>
      </c>
      <c r="X278" s="6" t="str">
        <f>IFERROR(__xludf.DUMMYFUNCTION("""COMPUTED_VALUE"""),"Sales &amp; Executive")</f>
        <v>Sales &amp; Executive</v>
      </c>
      <c r="Y278" s="6" t="s">
        <v>953</v>
      </c>
    </row>
    <row r="279">
      <c r="S279" s="6" t="str">
        <f>IFERROR(__xludf.DUMMYFUNCTION("""COMPUTED_VALUE"""),"PRD-210826-000069")</f>
        <v>PRD-210826-000069</v>
      </c>
      <c r="T279" s="6" t="str">
        <f>IFERROR(__xludf.DUMMYFUNCTION("""COMPUTED_VALUE"""),"21/08/2026 15:52")</f>
        <v>21/08/2026 15:52</v>
      </c>
      <c r="U279" s="6" t="str">
        <f>IFERROR(__xludf.DUMMYFUNCTION("""COMPUTED_VALUE"""),"Prima")</f>
        <v>Prima</v>
      </c>
      <c r="V279" s="6" t="str">
        <f>IFERROR(__xludf.DUMMYFUNCTION("""COMPUTED_VALUE"""),"Trousers")</f>
        <v>Trousers</v>
      </c>
      <c r="W279" s="6">
        <f>IFERROR(__xludf.DUMMYFUNCTION("""COMPUTED_VALUE"""),3.0)</f>
        <v>3</v>
      </c>
      <c r="X279" s="6" t="str">
        <f>IFERROR(__xludf.DUMMYFUNCTION("""COMPUTED_VALUE"""),"Wellness")</f>
        <v>Wellness</v>
      </c>
      <c r="Y279" s="6" t="s">
        <v>953</v>
      </c>
    </row>
    <row r="280">
      <c r="S280" s="6" t="str">
        <f>IFERROR(__xludf.DUMMYFUNCTION("""COMPUTED_VALUE"""),"PRD-210826-000070")</f>
        <v>PRD-210826-000070</v>
      </c>
      <c r="T280" s="6" t="str">
        <f>IFERROR(__xludf.DUMMYFUNCTION("""COMPUTED_VALUE"""),"21/08/2026 15:52")</f>
        <v>21/08/2026 15:52</v>
      </c>
      <c r="U280" s="6" t="str">
        <f>IFERROR(__xludf.DUMMYFUNCTION("""COMPUTED_VALUE"""),"Prima")</f>
        <v>Prima</v>
      </c>
      <c r="V280" s="6" t="str">
        <f>IFERROR(__xludf.DUMMYFUNCTION("""COMPUTED_VALUE"""),"Blouse")</f>
        <v>Blouse</v>
      </c>
      <c r="W280" s="6">
        <f>IFERROR(__xludf.DUMMYFUNCTION("""COMPUTED_VALUE"""),3.0)</f>
        <v>3</v>
      </c>
      <c r="X280" s="6" t="str">
        <f>IFERROR(__xludf.DUMMYFUNCTION("""COMPUTED_VALUE"""),"Wellness")</f>
        <v>Wellness</v>
      </c>
      <c r="Y280" s="6" t="s">
        <v>953</v>
      </c>
    </row>
    <row r="281">
      <c r="S281" s="6" t="str">
        <f>IFERROR(__xludf.DUMMYFUNCTION("""COMPUTED_VALUE"""),"PRD-210826-000071")</f>
        <v>PRD-210826-000071</v>
      </c>
      <c r="T281" s="6" t="str">
        <f>IFERROR(__xludf.DUMMYFUNCTION("""COMPUTED_VALUE"""),"21/08/2026 15:52")</f>
        <v>21/08/2026 15:52</v>
      </c>
      <c r="U281" s="6" t="str">
        <f>IFERROR(__xludf.DUMMYFUNCTION("""COMPUTED_VALUE"""),"Prima")</f>
        <v>Prima</v>
      </c>
      <c r="V281" s="6" t="str">
        <f>IFERROR(__xludf.DUMMYFUNCTION("""COMPUTED_VALUE"""),"Polo Shirt")</f>
        <v>Polo Shirt</v>
      </c>
      <c r="W281" s="6">
        <f>IFERROR(__xludf.DUMMYFUNCTION("""COMPUTED_VALUE"""),1.0)</f>
        <v>1</v>
      </c>
      <c r="X281" s="6" t="str">
        <f>IFERROR(__xludf.DUMMYFUNCTION("""COMPUTED_VALUE"""),"Wellness")</f>
        <v>Wellness</v>
      </c>
      <c r="Y281" s="6" t="s">
        <v>953</v>
      </c>
    </row>
    <row r="282">
      <c r="S282" s="6" t="str">
        <f>IFERROR(__xludf.DUMMYFUNCTION("""COMPUTED_VALUE"""),"PRD-210826-000076")</f>
        <v>PRD-210826-000076</v>
      </c>
      <c r="T282" s="6" t="str">
        <f>IFERROR(__xludf.DUMMYFUNCTION("""COMPUTED_VALUE"""),"21/08/2026 17:26")</f>
        <v>21/08/2026 17:26</v>
      </c>
      <c r="U282" s="6" t="str">
        <f>IFERROR(__xludf.DUMMYFUNCTION("""COMPUTED_VALUE"""),"Made")</f>
        <v>Made</v>
      </c>
      <c r="V282" s="6" t="str">
        <f>IFERROR(__xludf.DUMMYFUNCTION("""COMPUTED_VALUE"""),"Napkin")</f>
        <v>Napkin</v>
      </c>
      <c r="W282" s="6">
        <f>IFERROR(__xludf.DUMMYFUNCTION("""COMPUTED_VALUE"""),238.0)</f>
        <v>238</v>
      </c>
      <c r="X282" s="6" t="str">
        <f>IFERROR(__xludf.DUMMYFUNCTION("""COMPUTED_VALUE"""),"Cinnamon")</f>
        <v>Cinnamon</v>
      </c>
      <c r="Y282" s="6" t="s">
        <v>953</v>
      </c>
    </row>
    <row r="283">
      <c r="S283" s="6" t="str">
        <f>IFERROR(__xludf.DUMMYFUNCTION("""COMPUTED_VALUE"""),"PRD-210826-000077")</f>
        <v>PRD-210826-000077</v>
      </c>
      <c r="T283" s="6" t="str">
        <f>IFERROR(__xludf.DUMMYFUNCTION("""COMPUTED_VALUE"""),"21/08/2026 17:28")</f>
        <v>21/08/2026 17:28</v>
      </c>
      <c r="U283" s="6" t="str">
        <f>IFERROR(__xludf.DUMMYFUNCTION("""COMPUTED_VALUE"""),"Made")</f>
        <v>Made</v>
      </c>
      <c r="V283" s="6" t="str">
        <f>IFERROR(__xludf.DUMMYFUNCTION("""COMPUTED_VALUE"""),"Napkin")</f>
        <v>Napkin</v>
      </c>
      <c r="W283" s="6">
        <f>IFERROR(__xludf.DUMMYFUNCTION("""COMPUTED_VALUE"""),17.0)</f>
        <v>17</v>
      </c>
      <c r="X283" s="6" t="str">
        <f>IFERROR(__xludf.DUMMYFUNCTION("""COMPUTED_VALUE"""),"Cinnamon")</f>
        <v>Cinnamon</v>
      </c>
      <c r="Y283" s="6" t="s">
        <v>953</v>
      </c>
    </row>
    <row r="284">
      <c r="S284" s="6" t="str">
        <f>IFERROR(__xludf.DUMMYFUNCTION("""COMPUTED_VALUE"""),"PRD-210826-000078")</f>
        <v>PRD-210826-000078</v>
      </c>
      <c r="T284" s="6" t="str">
        <f>IFERROR(__xludf.DUMMYFUNCTION("""COMPUTED_VALUE"""),"21/08/2026 17:28")</f>
        <v>21/08/2026 17:28</v>
      </c>
      <c r="U284" s="6" t="str">
        <f>IFERROR(__xludf.DUMMYFUNCTION("""COMPUTED_VALUE"""),"Made")</f>
        <v>Made</v>
      </c>
      <c r="V284" s="6" t="str">
        <f>IFERROR(__xludf.DUMMYFUNCTION("""COMPUTED_VALUE"""),"Napkin")</f>
        <v>Napkin</v>
      </c>
      <c r="W284" s="6">
        <f>IFERROR(__xludf.DUMMYFUNCTION("""COMPUTED_VALUE"""),19.0)</f>
        <v>19</v>
      </c>
      <c r="X284" s="6" t="str">
        <f>IFERROR(__xludf.DUMMYFUNCTION("""COMPUTED_VALUE"""),"Club")</f>
        <v>Club</v>
      </c>
      <c r="Y284" s="6" t="s">
        <v>953</v>
      </c>
    </row>
    <row r="285">
      <c r="S285" s="6" t="str">
        <f>IFERROR(__xludf.DUMMYFUNCTION("""COMPUTED_VALUE"""),"PRD-210826-000079")</f>
        <v>PRD-210826-000079</v>
      </c>
      <c r="T285" s="6" t="str">
        <f>IFERROR(__xludf.DUMMYFUNCTION("""COMPUTED_VALUE"""),"21/08/2026 17:29")</f>
        <v>21/08/2026 17:29</v>
      </c>
      <c r="U285" s="6" t="str">
        <f>IFERROR(__xludf.DUMMYFUNCTION("""COMPUTED_VALUE"""),"Made")</f>
        <v>Made</v>
      </c>
      <c r="V285" s="6" t="str">
        <f>IFERROR(__xludf.DUMMYFUNCTION("""COMPUTED_VALUE"""),"Napkin")</f>
        <v>Napkin</v>
      </c>
      <c r="W285" s="6">
        <f>IFERROR(__xludf.DUMMYFUNCTION("""COMPUTED_VALUE"""),2.0)</f>
        <v>2</v>
      </c>
      <c r="X285" s="6" t="str">
        <f>IFERROR(__xludf.DUMMYFUNCTION("""COMPUTED_VALUE"""),"Banquet")</f>
        <v>Banquet</v>
      </c>
      <c r="Y285" s="6" t="s">
        <v>953</v>
      </c>
    </row>
    <row r="286">
      <c r="S286" s="6" t="str">
        <f>IFERROR(__xludf.DUMMYFUNCTION("""COMPUTED_VALUE"""),"PRD-210826-000080")</f>
        <v>PRD-210826-000080</v>
      </c>
      <c r="T286" s="6" t="str">
        <f>IFERROR(__xludf.DUMMYFUNCTION("""COMPUTED_VALUE"""),"21/08/2026 17:29")</f>
        <v>21/08/2026 17:29</v>
      </c>
      <c r="U286" s="6" t="str">
        <f>IFERROR(__xludf.DUMMYFUNCTION("""COMPUTED_VALUE"""),"Made")</f>
        <v>Made</v>
      </c>
      <c r="V286" s="6" t="str">
        <f>IFERROR(__xludf.DUMMYFUNCTION("""COMPUTED_VALUE"""),"Napkin")</f>
        <v>Napkin</v>
      </c>
      <c r="W286" s="6">
        <f>IFERROR(__xludf.DUMMYFUNCTION("""COMPUTED_VALUE"""),2.0)</f>
        <v>2</v>
      </c>
      <c r="X286" s="6" t="str">
        <f>IFERROR(__xludf.DUMMYFUNCTION("""COMPUTED_VALUE"""),"LiFeng")</f>
        <v>LiFeng</v>
      </c>
      <c r="Y286" s="6" t="s">
        <v>953</v>
      </c>
    </row>
    <row r="287">
      <c r="S287" s="6" t="str">
        <f>IFERROR(__xludf.DUMMYFUNCTION("""COMPUTED_VALUE"""),"PRD-210826-000081")</f>
        <v>PRD-210826-000081</v>
      </c>
      <c r="T287" s="6" t="str">
        <f>IFERROR(__xludf.DUMMYFUNCTION("""COMPUTED_VALUE"""),"21/08/2026 17:30")</f>
        <v>21/08/2026 17:30</v>
      </c>
      <c r="U287" s="6" t="str">
        <f>IFERROR(__xludf.DUMMYFUNCTION("""COMPUTED_VALUE"""),"Made")</f>
        <v>Made</v>
      </c>
      <c r="V287" s="6" t="str">
        <f>IFERROR(__xludf.DUMMYFUNCTION("""COMPUTED_VALUE"""),"Napkin")</f>
        <v>Napkin</v>
      </c>
      <c r="W287" s="6">
        <f>IFERROR(__xludf.DUMMYFUNCTION("""COMPUTED_VALUE"""),5.0)</f>
        <v>5</v>
      </c>
      <c r="X287" s="6" t="str">
        <f>IFERROR(__xludf.DUMMYFUNCTION("""COMPUTED_VALUE"""),"IRD")</f>
        <v>IRD</v>
      </c>
      <c r="Y287" s="6" t="s">
        <v>953</v>
      </c>
    </row>
    <row r="288">
      <c r="S288" s="6"/>
      <c r="T288" s="6"/>
      <c r="U288" s="6"/>
      <c r="V288" s="6"/>
      <c r="W288" s="6"/>
      <c r="X288" s="6"/>
      <c r="Y288" s="6" t="s">
        <v>954</v>
      </c>
    </row>
    <row r="289">
      <c r="S289" s="6"/>
      <c r="T289" s="6"/>
      <c r="U289" s="6"/>
      <c r="V289" s="6"/>
      <c r="W289" s="6"/>
      <c r="X289" s="6"/>
      <c r="Y289" s="6" t="s">
        <v>954</v>
      </c>
    </row>
    <row r="290">
      <c r="S290" s="6"/>
      <c r="T290" s="6"/>
      <c r="U290" s="6"/>
      <c r="V290" s="6"/>
      <c r="W290" s="6"/>
      <c r="X290" s="6"/>
      <c r="Y290" s="6" t="s">
        <v>954</v>
      </c>
    </row>
    <row r="291">
      <c r="S291" s="6"/>
      <c r="T291" s="6"/>
      <c r="U291" s="6"/>
      <c r="V291" s="6"/>
      <c r="W291" s="6"/>
      <c r="X291" s="6"/>
      <c r="Y291" s="6" t="s">
        <v>954</v>
      </c>
    </row>
    <row r="292">
      <c r="S292" s="6"/>
      <c r="T292" s="6"/>
      <c r="U292" s="6"/>
      <c r="V292" s="6"/>
      <c r="W292" s="6"/>
      <c r="X292" s="6"/>
      <c r="Y292" s="6" t="s">
        <v>954</v>
      </c>
    </row>
    <row r="293">
      <c r="S293" s="6"/>
      <c r="T293" s="6"/>
      <c r="U293" s="6"/>
      <c r="V293" s="6"/>
      <c r="W293" s="6"/>
      <c r="X293" s="6"/>
      <c r="Y293" s="6" t="s">
        <v>954</v>
      </c>
    </row>
    <row r="294">
      <c r="S294" s="6"/>
      <c r="T294" s="6"/>
      <c r="U294" s="6"/>
      <c r="V294" s="6"/>
      <c r="W294" s="6"/>
      <c r="X294" s="6"/>
      <c r="Y294" s="6" t="s">
        <v>954</v>
      </c>
    </row>
    <row r="295">
      <c r="S295" s="6"/>
      <c r="T295" s="6"/>
      <c r="U295" s="6"/>
      <c r="V295" s="6"/>
      <c r="W295" s="6"/>
      <c r="X295" s="6"/>
      <c r="Y295" s="6" t="s">
        <v>954</v>
      </c>
    </row>
    <row r="296">
      <c r="S296" s="6"/>
      <c r="T296" s="6"/>
      <c r="U296" s="6"/>
      <c r="V296" s="6"/>
      <c r="W296" s="6"/>
      <c r="X296" s="6"/>
      <c r="Y296" s="6" t="s">
        <v>954</v>
      </c>
    </row>
    <row r="297">
      <c r="S297" s="6"/>
      <c r="T297" s="6"/>
      <c r="U297" s="6"/>
      <c r="V297" s="6"/>
      <c r="W297" s="6"/>
      <c r="X297" s="6"/>
      <c r="Y297" s="6" t="s">
        <v>954</v>
      </c>
    </row>
    <row r="298">
      <c r="S298" s="6"/>
      <c r="T298" s="6"/>
      <c r="U298" s="6"/>
      <c r="V298" s="6"/>
      <c r="W298" s="6"/>
      <c r="X298" s="6"/>
      <c r="Y298" s="6" t="s">
        <v>954</v>
      </c>
    </row>
    <row r="299">
      <c r="S299" s="6"/>
      <c r="T299" s="6"/>
      <c r="U299" s="6"/>
      <c r="V299" s="6"/>
      <c r="W299" s="6"/>
      <c r="X299" s="6"/>
      <c r="Y299" s="6" t="s">
        <v>954</v>
      </c>
    </row>
    <row r="300">
      <c r="S300" s="6"/>
      <c r="T300" s="6"/>
      <c r="U300" s="6"/>
      <c r="V300" s="6"/>
      <c r="W300" s="6"/>
      <c r="X300" s="6"/>
      <c r="Y300" s="6" t="s">
        <v>954</v>
      </c>
    </row>
    <row r="301">
      <c r="S301" s="6"/>
      <c r="T301" s="6"/>
      <c r="U301" s="6"/>
      <c r="V301" s="6"/>
      <c r="W301" s="6"/>
      <c r="X301" s="6"/>
      <c r="Y301" s="6" t="s">
        <v>954</v>
      </c>
    </row>
    <row r="302">
      <c r="S302" s="6"/>
      <c r="T302" s="6"/>
      <c r="U302" s="6"/>
      <c r="V302" s="6"/>
      <c r="W302" s="6"/>
      <c r="X302" s="6"/>
      <c r="Y302" s="6" t="s">
        <v>954</v>
      </c>
    </row>
    <row r="303">
      <c r="S303" s="6"/>
      <c r="T303" s="6"/>
      <c r="U303" s="6"/>
      <c r="V303" s="6"/>
      <c r="W303" s="6"/>
      <c r="X303" s="6"/>
      <c r="Y303" s="6" t="s">
        <v>954</v>
      </c>
    </row>
    <row r="304">
      <c r="S304" s="6"/>
      <c r="T304" s="6"/>
      <c r="U304" s="6"/>
      <c r="V304" s="6"/>
      <c r="W304" s="6"/>
      <c r="X304" s="6"/>
      <c r="Y304" s="6" t="s">
        <v>954</v>
      </c>
    </row>
    <row r="305">
      <c r="S305" s="6"/>
      <c r="T305" s="6"/>
      <c r="U305" s="6"/>
      <c r="V305" s="6"/>
      <c r="W305" s="6"/>
      <c r="X305" s="6"/>
      <c r="Y305" s="6" t="s">
        <v>954</v>
      </c>
    </row>
    <row r="306">
      <c r="S306" s="6"/>
      <c r="T306" s="6"/>
      <c r="U306" s="6"/>
      <c r="V306" s="6"/>
      <c r="W306" s="6"/>
      <c r="X306" s="6"/>
      <c r="Y306" s="6" t="s">
        <v>954</v>
      </c>
    </row>
    <row r="307">
      <c r="S307" s="6"/>
      <c r="T307" s="6"/>
      <c r="U307" s="6"/>
      <c r="V307" s="6"/>
      <c r="W307" s="6"/>
      <c r="X307" s="6"/>
      <c r="Y307" s="6" t="s">
        <v>954</v>
      </c>
    </row>
    <row r="308">
      <c r="S308" s="6"/>
      <c r="T308" s="6"/>
      <c r="U308" s="6"/>
      <c r="V308" s="6"/>
      <c r="W308" s="6"/>
      <c r="X308" s="6"/>
      <c r="Y308" s="6" t="s">
        <v>954</v>
      </c>
    </row>
    <row r="309">
      <c r="S309" s="6"/>
      <c r="T309" s="6"/>
      <c r="U309" s="6"/>
      <c r="V309" s="6"/>
      <c r="W309" s="6"/>
      <c r="X309" s="6"/>
      <c r="Y309" s="6" t="s">
        <v>954</v>
      </c>
    </row>
    <row r="310">
      <c r="S310" s="6"/>
      <c r="T310" s="6"/>
      <c r="U310" s="6"/>
      <c r="V310" s="6"/>
      <c r="W310" s="6"/>
      <c r="X310" s="6"/>
      <c r="Y310" s="6" t="s">
        <v>954</v>
      </c>
    </row>
    <row r="311">
      <c r="S311" s="6"/>
      <c r="T311" s="6"/>
      <c r="U311" s="6"/>
      <c r="V311" s="6"/>
      <c r="W311" s="6"/>
      <c r="X311" s="6"/>
      <c r="Y311" s="6" t="s">
        <v>954</v>
      </c>
    </row>
    <row r="312">
      <c r="S312" s="6"/>
      <c r="T312" s="6"/>
      <c r="U312" s="6"/>
      <c r="V312" s="6"/>
      <c r="W312" s="6"/>
      <c r="X312" s="6"/>
      <c r="Y312" s="6" t="s">
        <v>954</v>
      </c>
    </row>
    <row r="313">
      <c r="S313" s="6"/>
      <c r="T313" s="6"/>
      <c r="U313" s="6"/>
      <c r="V313" s="6"/>
      <c r="W313" s="6"/>
      <c r="X313" s="6"/>
      <c r="Y313" s="6" t="s">
        <v>954</v>
      </c>
    </row>
    <row r="314">
      <c r="S314" s="6"/>
      <c r="T314" s="6"/>
      <c r="U314" s="6"/>
      <c r="V314" s="6"/>
      <c r="W314" s="6"/>
      <c r="X314" s="6"/>
      <c r="Y314" s="6" t="s">
        <v>954</v>
      </c>
    </row>
    <row r="315">
      <c r="S315" s="6"/>
      <c r="T315" s="6"/>
      <c r="U315" s="6"/>
      <c r="V315" s="6"/>
      <c r="W315" s="6"/>
      <c r="X315" s="6"/>
      <c r="Y315" s="6" t="s">
        <v>954</v>
      </c>
    </row>
    <row r="316">
      <c r="S316" s="6"/>
      <c r="T316" s="6"/>
      <c r="U316" s="6"/>
      <c r="V316" s="6"/>
      <c r="W316" s="6"/>
      <c r="X316" s="6"/>
      <c r="Y316" s="6" t="s">
        <v>954</v>
      </c>
    </row>
    <row r="317">
      <c r="S317" s="6"/>
      <c r="T317" s="6"/>
      <c r="U317" s="6"/>
      <c r="V317" s="6"/>
      <c r="W317" s="6"/>
      <c r="X317" s="6"/>
      <c r="Y317" s="6" t="s">
        <v>954</v>
      </c>
    </row>
    <row r="318">
      <c r="S318" s="6"/>
      <c r="T318" s="6"/>
      <c r="U318" s="6"/>
      <c r="V318" s="6"/>
      <c r="W318" s="6"/>
      <c r="X318" s="6"/>
      <c r="Y318" s="6" t="s">
        <v>954</v>
      </c>
    </row>
    <row r="319">
      <c r="S319" s="6"/>
      <c r="T319" s="6"/>
      <c r="U319" s="6"/>
      <c r="V319" s="6"/>
      <c r="W319" s="6"/>
      <c r="X319" s="6"/>
      <c r="Y319" s="6" t="s">
        <v>954</v>
      </c>
    </row>
    <row r="320">
      <c r="S320" s="6"/>
      <c r="T320" s="6"/>
      <c r="U320" s="6"/>
      <c r="V320" s="6"/>
      <c r="W320" s="6"/>
      <c r="X320" s="6"/>
      <c r="Y320" s="6" t="s">
        <v>954</v>
      </c>
    </row>
    <row r="321">
      <c r="S321" s="6"/>
      <c r="T321" s="6"/>
      <c r="U321" s="6"/>
      <c r="V321" s="6"/>
      <c r="W321" s="6"/>
      <c r="X321" s="6"/>
      <c r="Y321" s="6" t="s">
        <v>954</v>
      </c>
    </row>
    <row r="322">
      <c r="S322" s="6"/>
      <c r="T322" s="6"/>
      <c r="U322" s="6"/>
      <c r="V322" s="6"/>
      <c r="W322" s="6"/>
      <c r="X322" s="6"/>
      <c r="Y322" s="6" t="s">
        <v>954</v>
      </c>
    </row>
    <row r="323">
      <c r="S323" s="6"/>
      <c r="T323" s="6"/>
      <c r="U323" s="6"/>
      <c r="V323" s="6"/>
      <c r="W323" s="6"/>
      <c r="X323" s="6"/>
      <c r="Y323" s="6" t="s">
        <v>954</v>
      </c>
    </row>
    <row r="324">
      <c r="S324" s="6"/>
      <c r="T324" s="6"/>
      <c r="U324" s="6"/>
      <c r="V324" s="6"/>
      <c r="W324" s="6"/>
      <c r="X324" s="6"/>
      <c r="Y324" s="6" t="s">
        <v>954</v>
      </c>
    </row>
    <row r="325">
      <c r="S325" s="6"/>
      <c r="T325" s="6"/>
      <c r="U325" s="6"/>
      <c r="V325" s="6"/>
      <c r="W325" s="6"/>
      <c r="X325" s="6"/>
      <c r="Y325" s="6" t="s">
        <v>954</v>
      </c>
    </row>
    <row r="326">
      <c r="S326" s="6"/>
      <c r="T326" s="6"/>
      <c r="U326" s="6"/>
      <c r="V326" s="6"/>
      <c r="W326" s="6"/>
      <c r="X326" s="6"/>
      <c r="Y326" s="6" t="s">
        <v>954</v>
      </c>
    </row>
    <row r="327">
      <c r="S327" s="6"/>
      <c r="T327" s="6"/>
      <c r="U327" s="6"/>
      <c r="V327" s="6"/>
      <c r="W327" s="6"/>
      <c r="X327" s="6"/>
      <c r="Y327" s="6" t="s">
        <v>954</v>
      </c>
    </row>
    <row r="328">
      <c r="S328" s="6"/>
      <c r="T328" s="6"/>
      <c r="U328" s="6"/>
      <c r="V328" s="6"/>
      <c r="W328" s="6"/>
      <c r="X328" s="6"/>
      <c r="Y328" s="6" t="s">
        <v>954</v>
      </c>
    </row>
    <row r="329">
      <c r="S329" s="6"/>
      <c r="T329" s="6"/>
      <c r="U329" s="6"/>
      <c r="V329" s="6"/>
      <c r="W329" s="6"/>
      <c r="X329" s="6"/>
      <c r="Y329" s="6" t="s">
        <v>954</v>
      </c>
    </row>
    <row r="330">
      <c r="S330" s="6"/>
      <c r="T330" s="6"/>
      <c r="U330" s="6"/>
      <c r="V330" s="6"/>
      <c r="W330" s="6"/>
      <c r="X330" s="6"/>
      <c r="Y330" s="6" t="s">
        <v>954</v>
      </c>
    </row>
    <row r="331">
      <c r="S331" s="6"/>
      <c r="T331" s="6"/>
      <c r="U331" s="6"/>
      <c r="V331" s="6"/>
      <c r="W331" s="6"/>
      <c r="X331" s="6"/>
      <c r="Y331" s="6" t="s">
        <v>954</v>
      </c>
    </row>
    <row r="332">
      <c r="S332" s="6"/>
      <c r="T332" s="6"/>
      <c r="U332" s="6"/>
      <c r="V332" s="6"/>
      <c r="W332" s="6"/>
      <c r="X332" s="6"/>
      <c r="Y332" s="6" t="s">
        <v>954</v>
      </c>
    </row>
    <row r="333">
      <c r="S333" s="6"/>
      <c r="T333" s="6"/>
      <c r="U333" s="6"/>
      <c r="V333" s="6"/>
      <c r="W333" s="6"/>
      <c r="X333" s="6"/>
      <c r="Y333" s="6" t="s">
        <v>954</v>
      </c>
    </row>
    <row r="334">
      <c r="S334" s="6"/>
      <c r="T334" s="6"/>
      <c r="U334" s="6"/>
      <c r="V334" s="6"/>
      <c r="W334" s="6"/>
      <c r="X334" s="6"/>
      <c r="Y334" s="6" t="s">
        <v>954</v>
      </c>
    </row>
    <row r="335">
      <c r="S335" s="6"/>
      <c r="T335" s="6"/>
      <c r="U335" s="6"/>
      <c r="V335" s="6"/>
      <c r="W335" s="6"/>
      <c r="X335" s="6"/>
      <c r="Y335" s="6" t="s">
        <v>954</v>
      </c>
    </row>
    <row r="336">
      <c r="S336" s="6"/>
      <c r="T336" s="6"/>
      <c r="U336" s="6"/>
      <c r="V336" s="6"/>
      <c r="W336" s="6"/>
      <c r="X336" s="6"/>
      <c r="Y336" s="6" t="s">
        <v>954</v>
      </c>
    </row>
    <row r="337">
      <c r="S337" s="6"/>
      <c r="T337" s="6"/>
      <c r="U337" s="6"/>
      <c r="V337" s="6"/>
      <c r="W337" s="6"/>
      <c r="X337" s="6"/>
      <c r="Y337" s="6" t="s">
        <v>954</v>
      </c>
    </row>
    <row r="338">
      <c r="S338" s="6"/>
      <c r="T338" s="6"/>
      <c r="U338" s="6"/>
      <c r="V338" s="6"/>
      <c r="W338" s="6"/>
      <c r="X338" s="6"/>
      <c r="Y338" s="6" t="s">
        <v>954</v>
      </c>
    </row>
    <row r="339">
      <c r="S339" s="6"/>
      <c r="T339" s="6"/>
      <c r="U339" s="6"/>
      <c r="V339" s="6"/>
      <c r="W339" s="6"/>
      <c r="X339" s="6"/>
      <c r="Y339" s="6" t="s">
        <v>954</v>
      </c>
    </row>
    <row r="340">
      <c r="S340" s="6"/>
      <c r="T340" s="6"/>
      <c r="U340" s="6"/>
      <c r="V340" s="6"/>
      <c r="W340" s="6"/>
      <c r="X340" s="6"/>
      <c r="Y340" s="6" t="s">
        <v>954</v>
      </c>
    </row>
    <row r="341">
      <c r="S341" s="6"/>
      <c r="T341" s="6"/>
      <c r="U341" s="6"/>
      <c r="V341" s="6"/>
      <c r="W341" s="6"/>
      <c r="X341" s="6"/>
      <c r="Y341" s="6" t="s">
        <v>954</v>
      </c>
    </row>
    <row r="342">
      <c r="S342" s="6"/>
      <c r="T342" s="6"/>
      <c r="U342" s="6"/>
      <c r="V342" s="6"/>
      <c r="W342" s="6"/>
      <c r="X342" s="6"/>
      <c r="Y342" s="6" t="s">
        <v>954</v>
      </c>
    </row>
    <row r="343">
      <c r="S343" s="6"/>
      <c r="T343" s="6"/>
      <c r="U343" s="6"/>
      <c r="V343" s="6"/>
      <c r="W343" s="6"/>
      <c r="X343" s="6"/>
      <c r="Y343" s="6" t="s">
        <v>954</v>
      </c>
    </row>
    <row r="344">
      <c r="S344" s="6"/>
      <c r="T344" s="6"/>
      <c r="U344" s="6"/>
      <c r="V344" s="6"/>
      <c r="W344" s="6"/>
      <c r="X344" s="6"/>
      <c r="Y344" s="6" t="s">
        <v>954</v>
      </c>
    </row>
    <row r="345">
      <c r="S345" s="6"/>
      <c r="T345" s="6"/>
      <c r="U345" s="6"/>
      <c r="V345" s="6"/>
      <c r="W345" s="6"/>
      <c r="X345" s="6"/>
      <c r="Y345" s="6" t="s">
        <v>954</v>
      </c>
    </row>
    <row r="346">
      <c r="S346" s="6"/>
      <c r="T346" s="6"/>
      <c r="U346" s="6"/>
      <c r="V346" s="6"/>
      <c r="W346" s="6"/>
      <c r="X346" s="6"/>
      <c r="Y346" s="6" t="s">
        <v>954</v>
      </c>
    </row>
    <row r="347">
      <c r="S347" s="6"/>
      <c r="T347" s="6"/>
      <c r="U347" s="6"/>
      <c r="V347" s="6"/>
      <c r="W347" s="6"/>
      <c r="X347" s="6"/>
      <c r="Y347" s="6" t="s">
        <v>954</v>
      </c>
    </row>
    <row r="348">
      <c r="S348" s="6"/>
      <c r="T348" s="6"/>
      <c r="U348" s="6"/>
      <c r="V348" s="6"/>
      <c r="W348" s="6"/>
      <c r="X348" s="6"/>
      <c r="Y348" s="6" t="s">
        <v>954</v>
      </c>
    </row>
    <row r="349">
      <c r="S349" s="6"/>
      <c r="T349" s="6"/>
      <c r="U349" s="6"/>
      <c r="V349" s="6"/>
      <c r="W349" s="6"/>
      <c r="X349" s="6"/>
      <c r="Y349" s="6" t="s">
        <v>954</v>
      </c>
    </row>
    <row r="350">
      <c r="S350" s="6"/>
      <c r="T350" s="6"/>
      <c r="U350" s="6"/>
      <c r="V350" s="6"/>
      <c r="W350" s="6"/>
      <c r="X350" s="6"/>
      <c r="Y350" s="6" t="s">
        <v>954</v>
      </c>
    </row>
    <row r="351">
      <c r="S351" s="6"/>
      <c r="T351" s="6"/>
      <c r="U351" s="6"/>
      <c r="V351" s="6"/>
      <c r="W351" s="6"/>
      <c r="X351" s="6"/>
      <c r="Y351" s="6" t="s">
        <v>954</v>
      </c>
    </row>
    <row r="352">
      <c r="S352" s="6"/>
      <c r="T352" s="6"/>
      <c r="U352" s="6"/>
      <c r="V352" s="6"/>
      <c r="W352" s="6"/>
      <c r="X352" s="6"/>
      <c r="Y352" s="6" t="s">
        <v>954</v>
      </c>
    </row>
    <row r="353">
      <c r="S353" s="6"/>
      <c r="T353" s="6"/>
      <c r="U353" s="6"/>
      <c r="V353" s="6"/>
      <c r="W353" s="6"/>
      <c r="X353" s="6"/>
      <c r="Y353" s="6" t="s">
        <v>954</v>
      </c>
    </row>
    <row r="354">
      <c r="S354" s="6"/>
      <c r="T354" s="6"/>
      <c r="U354" s="6"/>
      <c r="V354" s="6"/>
      <c r="W354" s="6"/>
      <c r="X354" s="6"/>
      <c r="Y354" s="6" t="s">
        <v>954</v>
      </c>
    </row>
    <row r="355">
      <c r="S355" s="6"/>
      <c r="T355" s="6"/>
      <c r="U355" s="6"/>
      <c r="V355" s="6"/>
      <c r="W355" s="6"/>
      <c r="X355" s="6"/>
      <c r="Y355" s="6" t="s">
        <v>954</v>
      </c>
    </row>
    <row r="356">
      <c r="S356" s="6"/>
      <c r="T356" s="6"/>
      <c r="U356" s="6"/>
      <c r="V356" s="6"/>
      <c r="W356" s="6"/>
      <c r="X356" s="6"/>
      <c r="Y356" s="6" t="s">
        <v>954</v>
      </c>
    </row>
    <row r="357">
      <c r="S357" s="6"/>
      <c r="T357" s="6"/>
      <c r="U357" s="6"/>
      <c r="V357" s="6"/>
      <c r="W357" s="6"/>
      <c r="X357" s="6"/>
      <c r="Y357" s="6" t="s">
        <v>954</v>
      </c>
    </row>
    <row r="358">
      <c r="S358" s="6"/>
      <c r="T358" s="6"/>
      <c r="U358" s="6"/>
      <c r="V358" s="6"/>
      <c r="W358" s="6"/>
      <c r="X358" s="6"/>
      <c r="Y358" s="6" t="s">
        <v>954</v>
      </c>
    </row>
    <row r="359">
      <c r="S359" s="6"/>
      <c r="T359" s="6"/>
      <c r="U359" s="6"/>
      <c r="V359" s="6"/>
      <c r="W359" s="6"/>
      <c r="X359" s="6"/>
      <c r="Y359" s="6" t="s">
        <v>954</v>
      </c>
    </row>
    <row r="360">
      <c r="S360" s="6"/>
      <c r="T360" s="6"/>
      <c r="U360" s="6"/>
      <c r="V360" s="6"/>
      <c r="W360" s="6"/>
      <c r="X360" s="6"/>
      <c r="Y360" s="6" t="s">
        <v>954</v>
      </c>
    </row>
    <row r="361">
      <c r="S361" s="6"/>
      <c r="T361" s="6"/>
      <c r="U361" s="6"/>
      <c r="V361" s="6"/>
      <c r="W361" s="6"/>
      <c r="X361" s="6"/>
      <c r="Y361" s="6" t="s">
        <v>954</v>
      </c>
    </row>
    <row r="362">
      <c r="S362" s="6"/>
      <c r="T362" s="6"/>
      <c r="U362" s="6"/>
      <c r="V362" s="6"/>
      <c r="W362" s="6"/>
      <c r="X362" s="6"/>
      <c r="Y362" s="6" t="s">
        <v>954</v>
      </c>
    </row>
    <row r="363">
      <c r="S363" s="6"/>
      <c r="T363" s="6"/>
      <c r="U363" s="6"/>
      <c r="V363" s="6"/>
      <c r="W363" s="6"/>
      <c r="X363" s="6"/>
      <c r="Y363" s="6" t="s">
        <v>954</v>
      </c>
    </row>
    <row r="364">
      <c r="S364" s="6"/>
      <c r="T364" s="6"/>
      <c r="U364" s="6"/>
      <c r="V364" s="6"/>
      <c r="W364" s="6"/>
      <c r="X364" s="6"/>
      <c r="Y364" s="6" t="s">
        <v>954</v>
      </c>
    </row>
    <row r="365">
      <c r="S365" s="6"/>
      <c r="T365" s="6"/>
      <c r="U365" s="6"/>
      <c r="V365" s="6"/>
      <c r="W365" s="6"/>
      <c r="X365" s="6"/>
      <c r="Y365" s="6" t="s">
        <v>954</v>
      </c>
    </row>
    <row r="366">
      <c r="S366" s="6"/>
      <c r="T366" s="6"/>
      <c r="U366" s="6"/>
      <c r="V366" s="6"/>
      <c r="W366" s="6"/>
      <c r="X366" s="6"/>
      <c r="Y366" s="6" t="s">
        <v>954</v>
      </c>
    </row>
    <row r="367">
      <c r="S367" s="6"/>
      <c r="T367" s="6"/>
      <c r="U367" s="6"/>
      <c r="V367" s="6"/>
      <c r="W367" s="6"/>
      <c r="X367" s="6"/>
      <c r="Y367" s="6" t="s">
        <v>954</v>
      </c>
    </row>
    <row r="368">
      <c r="S368" s="6"/>
      <c r="T368" s="6"/>
      <c r="U368" s="6"/>
      <c r="V368" s="6"/>
      <c r="W368" s="6"/>
      <c r="X368" s="6"/>
      <c r="Y368" s="6" t="s">
        <v>954</v>
      </c>
    </row>
    <row r="369">
      <c r="S369" s="6"/>
      <c r="T369" s="6"/>
      <c r="U369" s="6"/>
      <c r="V369" s="6"/>
      <c r="W369" s="6"/>
      <c r="X369" s="6"/>
      <c r="Y369" s="6" t="s">
        <v>954</v>
      </c>
    </row>
    <row r="370">
      <c r="S370" s="6"/>
      <c r="T370" s="6"/>
      <c r="U370" s="6"/>
      <c r="V370" s="6"/>
      <c r="W370" s="6"/>
      <c r="X370" s="6"/>
      <c r="Y370" s="6" t="s">
        <v>954</v>
      </c>
    </row>
    <row r="371">
      <c r="S371" s="6"/>
      <c r="T371" s="6"/>
      <c r="U371" s="6"/>
      <c r="V371" s="6"/>
      <c r="W371" s="6"/>
      <c r="X371" s="6"/>
      <c r="Y371" s="6" t="s">
        <v>954</v>
      </c>
    </row>
    <row r="372">
      <c r="S372" s="6"/>
      <c r="T372" s="6"/>
      <c r="U372" s="6"/>
      <c r="V372" s="6"/>
      <c r="W372" s="6"/>
      <c r="X372" s="6"/>
      <c r="Y372" s="6" t="s">
        <v>954</v>
      </c>
    </row>
    <row r="373">
      <c r="S373" s="6"/>
      <c r="T373" s="6"/>
      <c r="U373" s="6"/>
      <c r="V373" s="6"/>
      <c r="W373" s="6"/>
      <c r="X373" s="6"/>
      <c r="Y373" s="6" t="s">
        <v>954</v>
      </c>
    </row>
    <row r="374">
      <c r="S374" s="6"/>
      <c r="T374" s="6"/>
      <c r="U374" s="6"/>
      <c r="V374" s="6"/>
      <c r="W374" s="6"/>
      <c r="X374" s="6"/>
      <c r="Y374" s="6" t="s">
        <v>954</v>
      </c>
    </row>
    <row r="375">
      <c r="S375" s="6"/>
      <c r="T375" s="6"/>
      <c r="U375" s="6"/>
      <c r="V375" s="6"/>
      <c r="W375" s="6"/>
      <c r="X375" s="6"/>
      <c r="Y375" s="6" t="s">
        <v>954</v>
      </c>
    </row>
    <row r="376">
      <c r="S376" s="6"/>
      <c r="T376" s="6"/>
      <c r="U376" s="6"/>
      <c r="V376" s="6"/>
      <c r="W376" s="6"/>
      <c r="X376" s="6"/>
      <c r="Y376" s="6" t="s">
        <v>954</v>
      </c>
    </row>
    <row r="377">
      <c r="S377" s="6"/>
      <c r="T377" s="6"/>
      <c r="U377" s="6"/>
      <c r="V377" s="6"/>
      <c r="W377" s="6"/>
      <c r="X377" s="6"/>
      <c r="Y377" s="6" t="s">
        <v>954</v>
      </c>
    </row>
    <row r="378">
      <c r="S378" s="6"/>
      <c r="T378" s="6"/>
      <c r="U378" s="6"/>
      <c r="V378" s="6"/>
      <c r="W378" s="6"/>
      <c r="X378" s="6"/>
      <c r="Y378" s="6" t="s">
        <v>954</v>
      </c>
    </row>
    <row r="379">
      <c r="S379" s="6"/>
      <c r="T379" s="6"/>
      <c r="U379" s="6"/>
      <c r="V379" s="6"/>
      <c r="W379" s="6"/>
      <c r="X379" s="6"/>
      <c r="Y379" s="6" t="s">
        <v>954</v>
      </c>
    </row>
    <row r="380">
      <c r="S380" s="6"/>
      <c r="T380" s="6"/>
      <c r="U380" s="6"/>
      <c r="V380" s="6"/>
      <c r="W380" s="6"/>
      <c r="X380" s="6"/>
      <c r="Y380" s="6" t="s">
        <v>954</v>
      </c>
    </row>
    <row r="381">
      <c r="S381" s="6"/>
      <c r="T381" s="6"/>
      <c r="U381" s="6"/>
      <c r="V381" s="6"/>
      <c r="W381" s="6"/>
      <c r="X381" s="6"/>
      <c r="Y381" s="6" t="s">
        <v>954</v>
      </c>
    </row>
    <row r="382">
      <c r="S382" s="6"/>
      <c r="T382" s="6"/>
      <c r="U382" s="6"/>
      <c r="V382" s="6"/>
      <c r="W382" s="6"/>
      <c r="X382" s="6"/>
      <c r="Y382" s="6" t="s">
        <v>954</v>
      </c>
    </row>
    <row r="383">
      <c r="S383" s="6"/>
      <c r="T383" s="6"/>
      <c r="U383" s="6"/>
      <c r="V383" s="6"/>
      <c r="W383" s="6"/>
      <c r="X383" s="6"/>
      <c r="Y383" s="6" t="s">
        <v>954</v>
      </c>
    </row>
    <row r="384">
      <c r="S384" s="6"/>
      <c r="T384" s="6"/>
      <c r="U384" s="6"/>
      <c r="V384" s="6"/>
      <c r="W384" s="6"/>
      <c r="X384" s="6"/>
      <c r="Y384" s="6" t="s">
        <v>954</v>
      </c>
    </row>
    <row r="385">
      <c r="S385" s="6"/>
      <c r="T385" s="6"/>
      <c r="U385" s="6"/>
      <c r="V385" s="6"/>
      <c r="W385" s="6"/>
      <c r="X385" s="6"/>
      <c r="Y385" s="6" t="s">
        <v>954</v>
      </c>
    </row>
    <row r="386">
      <c r="S386" s="6"/>
      <c r="T386" s="6"/>
      <c r="U386" s="6"/>
      <c r="V386" s="6"/>
      <c r="W386" s="6"/>
      <c r="X386" s="6"/>
      <c r="Y386" s="6" t="s">
        <v>954</v>
      </c>
    </row>
    <row r="387">
      <c r="S387" s="6"/>
      <c r="T387" s="6"/>
      <c r="U387" s="6"/>
      <c r="V387" s="6"/>
      <c r="W387" s="6"/>
      <c r="X387" s="6"/>
      <c r="Y387" s="6" t="s">
        <v>954</v>
      </c>
    </row>
    <row r="388">
      <c r="S388" s="6"/>
      <c r="T388" s="6"/>
      <c r="U388" s="6"/>
      <c r="V388" s="6"/>
      <c r="W388" s="6"/>
      <c r="X388" s="6"/>
      <c r="Y388" s="6" t="s">
        <v>954</v>
      </c>
    </row>
    <row r="389">
      <c r="S389" s="6"/>
      <c r="T389" s="6"/>
      <c r="U389" s="6"/>
      <c r="V389" s="6"/>
      <c r="W389" s="6"/>
      <c r="X389" s="6"/>
      <c r="Y389" s="6" t="s">
        <v>954</v>
      </c>
    </row>
    <row r="390">
      <c r="S390" s="6"/>
      <c r="T390" s="6"/>
      <c r="U390" s="6"/>
      <c r="V390" s="6"/>
      <c r="W390" s="6"/>
      <c r="X390" s="6"/>
      <c r="Y390" s="6" t="s">
        <v>954</v>
      </c>
    </row>
    <row r="391">
      <c r="S391" s="6"/>
      <c r="T391" s="6"/>
      <c r="U391" s="6"/>
      <c r="V391" s="6"/>
      <c r="W391" s="6"/>
      <c r="X391" s="6"/>
      <c r="Y391" s="6" t="s">
        <v>954</v>
      </c>
    </row>
    <row r="392">
      <c r="S392" s="6"/>
      <c r="T392" s="6"/>
      <c r="U392" s="6"/>
      <c r="V392" s="6"/>
      <c r="W392" s="6"/>
      <c r="X392" s="6"/>
      <c r="Y392" s="6" t="s">
        <v>954</v>
      </c>
    </row>
    <row r="393">
      <c r="S393" s="6"/>
      <c r="T393" s="6"/>
      <c r="U393" s="6"/>
      <c r="V393" s="6"/>
      <c r="W393" s="6"/>
      <c r="X393" s="6"/>
      <c r="Y393" s="6" t="s">
        <v>954</v>
      </c>
    </row>
    <row r="394">
      <c r="S394" s="6"/>
      <c r="T394" s="6"/>
      <c r="U394" s="6"/>
      <c r="V394" s="6"/>
      <c r="W394" s="6"/>
      <c r="X394" s="6"/>
      <c r="Y394" s="6" t="s">
        <v>954</v>
      </c>
    </row>
    <row r="395">
      <c r="S395" s="6"/>
      <c r="T395" s="6"/>
      <c r="U395" s="6"/>
      <c r="V395" s="6"/>
      <c r="W395" s="6"/>
      <c r="X395" s="6"/>
      <c r="Y395" s="6" t="s">
        <v>954</v>
      </c>
    </row>
    <row r="396">
      <c r="S396" s="6"/>
      <c r="T396" s="6"/>
      <c r="U396" s="6"/>
      <c r="V396" s="6"/>
      <c r="W396" s="6"/>
      <c r="X396" s="6"/>
      <c r="Y396" s="6" t="s">
        <v>954</v>
      </c>
    </row>
    <row r="397">
      <c r="S397" s="6"/>
      <c r="T397" s="6"/>
      <c r="U397" s="6"/>
      <c r="V397" s="6"/>
      <c r="W397" s="6"/>
      <c r="X397" s="6"/>
      <c r="Y397" s="6" t="s">
        <v>954</v>
      </c>
    </row>
    <row r="398">
      <c r="S398" s="6"/>
      <c r="T398" s="6"/>
      <c r="U398" s="6"/>
      <c r="V398" s="6"/>
      <c r="W398" s="6"/>
      <c r="X398" s="6"/>
      <c r="Y398" s="6" t="s">
        <v>954</v>
      </c>
    </row>
    <row r="399">
      <c r="S399" s="6"/>
      <c r="T399" s="6"/>
      <c r="U399" s="6"/>
      <c r="V399" s="6"/>
      <c r="W399" s="6"/>
      <c r="X399" s="6"/>
      <c r="Y399" s="6" t="s">
        <v>954</v>
      </c>
    </row>
    <row r="400">
      <c r="S400" s="6"/>
      <c r="T400" s="6"/>
      <c r="U400" s="6"/>
      <c r="V400" s="6"/>
      <c r="W400" s="6"/>
      <c r="X400" s="6"/>
      <c r="Y400" s="6" t="s">
        <v>954</v>
      </c>
    </row>
    <row r="401">
      <c r="S401" s="6"/>
      <c r="T401" s="6"/>
      <c r="U401" s="6"/>
      <c r="V401" s="6"/>
      <c r="W401" s="6"/>
      <c r="X401" s="6"/>
      <c r="Y401" s="6" t="s">
        <v>954</v>
      </c>
    </row>
    <row r="402">
      <c r="S402" s="6"/>
      <c r="T402" s="6"/>
      <c r="U402" s="6"/>
      <c r="V402" s="6"/>
      <c r="W402" s="6"/>
      <c r="X402" s="6"/>
      <c r="Y402" s="6" t="s">
        <v>954</v>
      </c>
    </row>
    <row r="403">
      <c r="S403" s="6"/>
      <c r="T403" s="6"/>
      <c r="U403" s="6"/>
      <c r="V403" s="6"/>
      <c r="W403" s="6"/>
      <c r="X403" s="6"/>
      <c r="Y403" s="6" t="s">
        <v>954</v>
      </c>
    </row>
    <row r="404">
      <c r="S404" s="6"/>
      <c r="T404" s="6"/>
      <c r="U404" s="6"/>
      <c r="V404" s="6"/>
      <c r="W404" s="6"/>
      <c r="X404" s="6"/>
      <c r="Y404" s="6" t="s">
        <v>954</v>
      </c>
    </row>
    <row r="405">
      <c r="S405" s="6"/>
      <c r="T405" s="6"/>
      <c r="U405" s="6"/>
      <c r="V405" s="6"/>
      <c r="W405" s="6"/>
      <c r="X405" s="6"/>
      <c r="Y405" s="6" t="s">
        <v>954</v>
      </c>
    </row>
    <row r="406">
      <c r="S406" s="6"/>
      <c r="T406" s="6"/>
      <c r="U406" s="6"/>
      <c r="V406" s="6"/>
      <c r="W406" s="6"/>
      <c r="X406" s="6"/>
      <c r="Y406" s="6" t="s">
        <v>954</v>
      </c>
    </row>
    <row r="407">
      <c r="S407" s="6"/>
      <c r="T407" s="6"/>
      <c r="U407" s="6"/>
      <c r="V407" s="6"/>
      <c r="W407" s="6"/>
      <c r="X407" s="6"/>
      <c r="Y407" s="6" t="s">
        <v>954</v>
      </c>
    </row>
    <row r="408">
      <c r="S408" s="6"/>
      <c r="T408" s="6"/>
      <c r="U408" s="6"/>
      <c r="V408" s="6"/>
      <c r="W408" s="6"/>
      <c r="X408" s="6"/>
      <c r="Y408" s="6" t="s">
        <v>954</v>
      </c>
    </row>
    <row r="409">
      <c r="S409" s="6"/>
      <c r="T409" s="6"/>
      <c r="U409" s="6"/>
      <c r="V409" s="6"/>
      <c r="W409" s="6"/>
      <c r="X409" s="6"/>
      <c r="Y409" s="6" t="s">
        <v>954</v>
      </c>
    </row>
    <row r="410">
      <c r="S410" s="6"/>
      <c r="T410" s="6"/>
      <c r="U410" s="6"/>
      <c r="V410" s="6"/>
      <c r="W410" s="6"/>
      <c r="X410" s="6"/>
      <c r="Y410" s="6" t="s">
        <v>954</v>
      </c>
    </row>
    <row r="411">
      <c r="S411" s="6"/>
      <c r="T411" s="6"/>
      <c r="U411" s="6"/>
      <c r="V411" s="6"/>
      <c r="W411" s="6"/>
      <c r="X411" s="6"/>
      <c r="Y411" s="6" t="s">
        <v>954</v>
      </c>
    </row>
    <row r="412">
      <c r="S412" s="6"/>
      <c r="T412" s="6"/>
      <c r="U412" s="6"/>
      <c r="V412" s="6"/>
      <c r="W412" s="6"/>
      <c r="X412" s="6"/>
      <c r="Y412" s="6" t="s">
        <v>954</v>
      </c>
    </row>
    <row r="413">
      <c r="S413" s="6"/>
      <c r="T413" s="6"/>
      <c r="U413" s="6"/>
      <c r="V413" s="6"/>
      <c r="W413" s="6"/>
      <c r="X413" s="6"/>
      <c r="Y413" s="6" t="s">
        <v>954</v>
      </c>
    </row>
    <row r="414">
      <c r="S414" s="6"/>
      <c r="T414" s="6"/>
      <c r="U414" s="6"/>
      <c r="V414" s="6"/>
      <c r="W414" s="6"/>
      <c r="X414" s="6"/>
      <c r="Y414" s="6" t="s">
        <v>954</v>
      </c>
    </row>
    <row r="415">
      <c r="S415" s="6"/>
      <c r="T415" s="6"/>
      <c r="U415" s="6"/>
      <c r="V415" s="6"/>
      <c r="W415" s="6"/>
      <c r="X415" s="6"/>
      <c r="Y415" s="6" t="s">
        <v>954</v>
      </c>
    </row>
    <row r="416">
      <c r="S416" s="6"/>
      <c r="T416" s="6"/>
      <c r="U416" s="6"/>
      <c r="V416" s="6"/>
      <c r="W416" s="6"/>
      <c r="X416" s="6"/>
      <c r="Y416" s="6" t="s">
        <v>954</v>
      </c>
    </row>
    <row r="417">
      <c r="S417" s="6"/>
      <c r="T417" s="6"/>
      <c r="U417" s="6"/>
      <c r="V417" s="6"/>
      <c r="W417" s="6"/>
      <c r="X417" s="6"/>
      <c r="Y417" s="6" t="s">
        <v>954</v>
      </c>
    </row>
    <row r="418">
      <c r="S418" s="6"/>
      <c r="T418" s="6"/>
      <c r="U418" s="6"/>
      <c r="V418" s="6"/>
      <c r="W418" s="6"/>
      <c r="X418" s="6"/>
      <c r="Y418" s="6" t="s">
        <v>954</v>
      </c>
    </row>
    <row r="419">
      <c r="S419" s="6"/>
      <c r="T419" s="6"/>
      <c r="U419" s="6"/>
      <c r="V419" s="6"/>
      <c r="W419" s="6"/>
      <c r="X419" s="6"/>
      <c r="Y419" s="6" t="s">
        <v>954</v>
      </c>
    </row>
    <row r="420">
      <c r="S420" s="6"/>
      <c r="T420" s="6"/>
      <c r="U420" s="6"/>
      <c r="V420" s="6"/>
      <c r="W420" s="6"/>
      <c r="X420" s="6"/>
      <c r="Y420" s="6" t="s">
        <v>954</v>
      </c>
    </row>
    <row r="421">
      <c r="S421" s="6"/>
      <c r="T421" s="6"/>
      <c r="U421" s="6"/>
      <c r="V421" s="6"/>
      <c r="W421" s="6"/>
      <c r="X421" s="6"/>
      <c r="Y421" s="6" t="s">
        <v>954</v>
      </c>
    </row>
    <row r="422">
      <c r="S422" s="6"/>
      <c r="T422" s="6"/>
      <c r="U422" s="6"/>
      <c r="V422" s="6"/>
      <c r="W422" s="6"/>
      <c r="X422" s="6"/>
      <c r="Y422" s="6" t="s">
        <v>954</v>
      </c>
    </row>
    <row r="423">
      <c r="S423" s="6"/>
      <c r="T423" s="6"/>
      <c r="U423" s="6"/>
      <c r="V423" s="6"/>
      <c r="W423" s="6"/>
      <c r="X423" s="6"/>
      <c r="Y423" s="6" t="s">
        <v>954</v>
      </c>
    </row>
    <row r="424">
      <c r="S424" s="6"/>
      <c r="T424" s="6"/>
      <c r="U424" s="6"/>
      <c r="V424" s="6"/>
      <c r="W424" s="6"/>
      <c r="X424" s="6"/>
      <c r="Y424" s="6" t="s">
        <v>954</v>
      </c>
    </row>
    <row r="425">
      <c r="S425" s="6"/>
      <c r="T425" s="6"/>
      <c r="U425" s="6"/>
      <c r="V425" s="6"/>
      <c r="W425" s="6"/>
      <c r="X425" s="6"/>
      <c r="Y425" s="6" t="s">
        <v>954</v>
      </c>
    </row>
    <row r="426">
      <c r="S426" s="6"/>
      <c r="T426" s="6"/>
      <c r="U426" s="6"/>
      <c r="V426" s="6"/>
      <c r="W426" s="6"/>
      <c r="X426" s="6"/>
      <c r="Y426" s="6" t="s">
        <v>954</v>
      </c>
    </row>
    <row r="427">
      <c r="S427" s="6"/>
      <c r="T427" s="6"/>
      <c r="U427" s="6"/>
      <c r="V427" s="6"/>
      <c r="W427" s="6"/>
      <c r="X427" s="6"/>
      <c r="Y427" s="6" t="s">
        <v>954</v>
      </c>
    </row>
    <row r="428">
      <c r="S428" s="6"/>
      <c r="T428" s="6"/>
      <c r="U428" s="6"/>
      <c r="V428" s="6"/>
      <c r="W428" s="6"/>
      <c r="X428" s="6"/>
      <c r="Y428" s="6" t="s">
        <v>954</v>
      </c>
    </row>
    <row r="429">
      <c r="S429" s="6"/>
      <c r="T429" s="6"/>
      <c r="U429" s="6"/>
      <c r="V429" s="6"/>
      <c r="W429" s="6"/>
      <c r="X429" s="6"/>
      <c r="Y429" s="6" t="s">
        <v>954</v>
      </c>
    </row>
    <row r="430">
      <c r="S430" s="6"/>
      <c r="T430" s="6"/>
      <c r="U430" s="6"/>
      <c r="V430" s="6"/>
      <c r="W430" s="6"/>
      <c r="X430" s="6"/>
      <c r="Y430" s="6" t="s">
        <v>954</v>
      </c>
    </row>
    <row r="431">
      <c r="S431" s="6"/>
      <c r="T431" s="6"/>
      <c r="U431" s="6"/>
      <c r="V431" s="6"/>
      <c r="W431" s="6"/>
      <c r="X431" s="6"/>
      <c r="Y431" s="6" t="s">
        <v>954</v>
      </c>
    </row>
    <row r="432">
      <c r="S432" s="6"/>
      <c r="T432" s="6"/>
      <c r="U432" s="6"/>
      <c r="V432" s="6"/>
      <c r="W432" s="6"/>
      <c r="X432" s="6"/>
      <c r="Y432" s="6" t="s">
        <v>954</v>
      </c>
    </row>
    <row r="433">
      <c r="S433" s="6"/>
      <c r="T433" s="6"/>
      <c r="U433" s="6"/>
      <c r="V433" s="6"/>
      <c r="W433" s="6"/>
      <c r="X433" s="6"/>
      <c r="Y433" s="6" t="s">
        <v>954</v>
      </c>
    </row>
    <row r="434">
      <c r="S434" s="6"/>
      <c r="T434" s="6"/>
      <c r="U434" s="6"/>
      <c r="V434" s="6"/>
      <c r="W434" s="6"/>
      <c r="X434" s="6"/>
      <c r="Y434" s="6" t="s">
        <v>954</v>
      </c>
    </row>
    <row r="435">
      <c r="S435" s="6"/>
      <c r="T435" s="6"/>
      <c r="U435" s="6"/>
      <c r="V435" s="6"/>
      <c r="W435" s="6"/>
      <c r="X435" s="6"/>
      <c r="Y435" s="6" t="s">
        <v>954</v>
      </c>
    </row>
    <row r="436">
      <c r="S436" s="6"/>
      <c r="T436" s="6"/>
      <c r="U436" s="6"/>
      <c r="V436" s="6"/>
      <c r="W436" s="6"/>
      <c r="X436" s="6"/>
      <c r="Y436" s="6" t="s">
        <v>954</v>
      </c>
    </row>
    <row r="437">
      <c r="S437" s="6"/>
      <c r="T437" s="6"/>
      <c r="U437" s="6"/>
      <c r="V437" s="6"/>
      <c r="W437" s="6"/>
      <c r="X437" s="6"/>
      <c r="Y437" s="6" t="s">
        <v>954</v>
      </c>
    </row>
    <row r="438">
      <c r="S438" s="6"/>
      <c r="T438" s="6"/>
      <c r="U438" s="6"/>
      <c r="V438" s="6"/>
      <c r="W438" s="6"/>
      <c r="X438" s="6"/>
      <c r="Y438" s="6" t="s">
        <v>954</v>
      </c>
    </row>
    <row r="439">
      <c r="S439" s="6"/>
      <c r="T439" s="6"/>
      <c r="U439" s="6"/>
      <c r="V439" s="6"/>
      <c r="W439" s="6"/>
      <c r="X439" s="6"/>
      <c r="Y439" s="6" t="s">
        <v>954</v>
      </c>
    </row>
    <row r="440">
      <c r="S440" s="6"/>
      <c r="T440" s="6"/>
      <c r="U440" s="6"/>
      <c r="V440" s="6"/>
      <c r="W440" s="6"/>
      <c r="X440" s="6"/>
      <c r="Y440" s="6" t="s">
        <v>954</v>
      </c>
    </row>
    <row r="441">
      <c r="S441" s="6"/>
      <c r="T441" s="6"/>
      <c r="U441" s="6"/>
      <c r="V441" s="6"/>
      <c r="W441" s="6"/>
      <c r="X441" s="6"/>
      <c r="Y441" s="6" t="s">
        <v>954</v>
      </c>
    </row>
    <row r="442">
      <c r="S442" s="6"/>
      <c r="T442" s="6"/>
      <c r="U442" s="6"/>
      <c r="V442" s="6"/>
      <c r="W442" s="6"/>
      <c r="X442" s="6"/>
      <c r="Y442" s="6" t="s">
        <v>954</v>
      </c>
    </row>
    <row r="443">
      <c r="S443" s="6"/>
      <c r="T443" s="6"/>
      <c r="U443" s="6"/>
      <c r="V443" s="6"/>
      <c r="W443" s="6"/>
      <c r="X443" s="6"/>
      <c r="Y443" s="6" t="s">
        <v>954</v>
      </c>
    </row>
    <row r="444">
      <c r="S444" s="6"/>
      <c r="T444" s="6"/>
      <c r="U444" s="6"/>
      <c r="V444" s="6"/>
      <c r="W444" s="6"/>
      <c r="X444" s="6"/>
      <c r="Y444" s="6" t="s">
        <v>954</v>
      </c>
    </row>
    <row r="445">
      <c r="S445" s="6"/>
      <c r="T445" s="6"/>
      <c r="U445" s="6"/>
      <c r="V445" s="6"/>
      <c r="W445" s="6"/>
      <c r="X445" s="6"/>
      <c r="Y445" s="6" t="s">
        <v>954</v>
      </c>
    </row>
    <row r="446">
      <c r="S446" s="6"/>
      <c r="T446" s="6"/>
      <c r="U446" s="6"/>
      <c r="V446" s="6"/>
      <c r="W446" s="6"/>
      <c r="X446" s="6"/>
      <c r="Y446" s="6" t="s">
        <v>954</v>
      </c>
    </row>
    <row r="447">
      <c r="S447" s="6"/>
      <c r="T447" s="6"/>
      <c r="U447" s="6"/>
      <c r="V447" s="6"/>
      <c r="W447" s="6"/>
      <c r="X447" s="6"/>
      <c r="Y447" s="6" t="s">
        <v>954</v>
      </c>
    </row>
    <row r="448">
      <c r="S448" s="6"/>
      <c r="T448" s="6"/>
      <c r="U448" s="6"/>
      <c r="V448" s="6"/>
      <c r="W448" s="6"/>
      <c r="X448" s="6"/>
      <c r="Y448" s="6" t="s">
        <v>954</v>
      </c>
    </row>
    <row r="449">
      <c r="S449" s="6"/>
      <c r="T449" s="6"/>
      <c r="U449" s="6"/>
      <c r="V449" s="6"/>
      <c r="W449" s="6"/>
      <c r="X449" s="6"/>
      <c r="Y449" s="6" t="s">
        <v>954</v>
      </c>
    </row>
    <row r="450">
      <c r="S450" s="6"/>
      <c r="T450" s="6"/>
      <c r="U450" s="6"/>
      <c r="V450" s="6"/>
      <c r="W450" s="6"/>
      <c r="X450" s="6"/>
      <c r="Y450" s="6" t="s">
        <v>954</v>
      </c>
    </row>
    <row r="451">
      <c r="S451" s="6"/>
      <c r="T451" s="6"/>
      <c r="U451" s="6"/>
      <c r="V451" s="6"/>
      <c r="W451" s="6"/>
      <c r="X451" s="6"/>
      <c r="Y451" s="6" t="s">
        <v>954</v>
      </c>
    </row>
    <row r="452">
      <c r="S452" s="6"/>
      <c r="T452" s="6"/>
      <c r="U452" s="6"/>
      <c r="V452" s="6"/>
      <c r="W452" s="6"/>
      <c r="X452" s="6"/>
      <c r="Y452" s="6" t="s">
        <v>954</v>
      </c>
    </row>
    <row r="453">
      <c r="S453" s="6"/>
      <c r="T453" s="6"/>
      <c r="U453" s="6"/>
      <c r="V453" s="6"/>
      <c r="W453" s="6"/>
      <c r="X453" s="6"/>
      <c r="Y453" s="6" t="s">
        <v>954</v>
      </c>
    </row>
    <row r="454">
      <c r="S454" s="6"/>
      <c r="T454" s="6"/>
      <c r="U454" s="6"/>
      <c r="V454" s="6"/>
      <c r="W454" s="6"/>
      <c r="X454" s="6"/>
      <c r="Y454" s="6" t="s">
        <v>954</v>
      </c>
    </row>
    <row r="455">
      <c r="S455" s="6"/>
      <c r="T455" s="6"/>
      <c r="U455" s="6"/>
      <c r="V455" s="6"/>
      <c r="W455" s="6"/>
      <c r="X455" s="6"/>
      <c r="Y455" s="6" t="s">
        <v>954</v>
      </c>
    </row>
    <row r="456">
      <c r="S456" s="6"/>
      <c r="T456" s="6"/>
      <c r="U456" s="6"/>
      <c r="V456" s="6"/>
      <c r="W456" s="6"/>
      <c r="X456" s="6"/>
      <c r="Y456" s="6" t="s">
        <v>954</v>
      </c>
    </row>
    <row r="457">
      <c r="S457" s="6"/>
      <c r="T457" s="6"/>
      <c r="U457" s="6"/>
      <c r="V457" s="6"/>
      <c r="W457" s="6"/>
      <c r="X457" s="6"/>
      <c r="Y457" s="6" t="s">
        <v>954</v>
      </c>
    </row>
    <row r="458">
      <c r="S458" s="6"/>
      <c r="T458" s="6"/>
      <c r="U458" s="6"/>
      <c r="V458" s="6"/>
      <c r="W458" s="6"/>
      <c r="X458" s="6"/>
      <c r="Y458" s="6" t="s">
        <v>954</v>
      </c>
    </row>
    <row r="459">
      <c r="S459" s="6"/>
      <c r="T459" s="6"/>
      <c r="U459" s="6"/>
      <c r="V459" s="6"/>
      <c r="W459" s="6"/>
      <c r="X459" s="6"/>
      <c r="Y459" s="6" t="s">
        <v>954</v>
      </c>
    </row>
    <row r="460">
      <c r="S460" s="6"/>
      <c r="T460" s="6"/>
      <c r="U460" s="6"/>
      <c r="V460" s="6"/>
      <c r="W460" s="6"/>
      <c r="X460" s="6"/>
      <c r="Y460" s="6" t="s">
        <v>954</v>
      </c>
    </row>
    <row r="461">
      <c r="S461" s="6"/>
      <c r="T461" s="6"/>
      <c r="U461" s="6"/>
      <c r="V461" s="6"/>
      <c r="W461" s="6"/>
      <c r="X461" s="6"/>
      <c r="Y461" s="6" t="s">
        <v>954</v>
      </c>
    </row>
    <row r="462">
      <c r="S462" s="6"/>
      <c r="T462" s="6"/>
      <c r="U462" s="6"/>
      <c r="V462" s="6"/>
      <c r="W462" s="6"/>
      <c r="X462" s="6"/>
      <c r="Y462" s="6" t="s">
        <v>954</v>
      </c>
    </row>
    <row r="463">
      <c r="S463" s="6"/>
      <c r="T463" s="6"/>
      <c r="U463" s="6"/>
      <c r="V463" s="6"/>
      <c r="W463" s="6"/>
      <c r="X463" s="6"/>
      <c r="Y463" s="6" t="s">
        <v>954</v>
      </c>
    </row>
    <row r="464">
      <c r="S464" s="6"/>
      <c r="T464" s="6"/>
      <c r="U464" s="6"/>
      <c r="V464" s="6"/>
      <c r="W464" s="6"/>
      <c r="X464" s="6"/>
      <c r="Y464" s="6" t="s">
        <v>954</v>
      </c>
    </row>
    <row r="465">
      <c r="S465" s="6"/>
      <c r="T465" s="6"/>
      <c r="U465" s="6"/>
      <c r="V465" s="6"/>
      <c r="W465" s="6"/>
      <c r="X465" s="6"/>
      <c r="Y465" s="6" t="s">
        <v>954</v>
      </c>
    </row>
    <row r="466">
      <c r="S466" s="6"/>
      <c r="T466" s="6"/>
      <c r="U466" s="6"/>
      <c r="V466" s="6"/>
      <c r="W466" s="6"/>
      <c r="X466" s="6"/>
      <c r="Y466" s="6" t="s">
        <v>954</v>
      </c>
    </row>
    <row r="467">
      <c r="S467" s="6"/>
      <c r="T467" s="6"/>
      <c r="U467" s="6"/>
      <c r="V467" s="6"/>
      <c r="W467" s="6"/>
      <c r="X467" s="6"/>
      <c r="Y467" s="6" t="s">
        <v>954</v>
      </c>
    </row>
    <row r="468">
      <c r="S468" s="6"/>
      <c r="T468" s="6"/>
      <c r="U468" s="6"/>
      <c r="V468" s="6"/>
      <c r="W468" s="6"/>
      <c r="X468" s="6"/>
      <c r="Y468" s="6" t="s">
        <v>954</v>
      </c>
    </row>
    <row r="469">
      <c r="S469" s="6"/>
      <c r="T469" s="6"/>
      <c r="U469" s="6"/>
      <c r="V469" s="6"/>
      <c r="W469" s="6"/>
      <c r="X469" s="6"/>
      <c r="Y469" s="6" t="s">
        <v>954</v>
      </c>
    </row>
    <row r="470">
      <c r="S470" s="6"/>
      <c r="T470" s="6"/>
      <c r="U470" s="6"/>
      <c r="V470" s="6"/>
      <c r="W470" s="6"/>
      <c r="X470" s="6"/>
      <c r="Y470" s="6" t="s">
        <v>954</v>
      </c>
    </row>
    <row r="471">
      <c r="S471" s="6"/>
      <c r="T471" s="6"/>
      <c r="U471" s="6"/>
      <c r="V471" s="6"/>
      <c r="W471" s="6"/>
      <c r="X471" s="6"/>
      <c r="Y471" s="6" t="s">
        <v>954</v>
      </c>
    </row>
    <row r="472">
      <c r="S472" s="6"/>
      <c r="T472" s="6"/>
      <c r="U472" s="6"/>
      <c r="V472" s="6"/>
      <c r="W472" s="6"/>
      <c r="X472" s="6"/>
      <c r="Y472" s="6" t="s">
        <v>954</v>
      </c>
    </row>
    <row r="473">
      <c r="S473" s="6"/>
      <c r="T473" s="6"/>
      <c r="U473" s="6"/>
      <c r="V473" s="6"/>
      <c r="W473" s="6"/>
      <c r="X473" s="6"/>
      <c r="Y473" s="6" t="s">
        <v>954</v>
      </c>
    </row>
    <row r="474">
      <c r="S474" s="6"/>
      <c r="T474" s="6"/>
      <c r="U474" s="6"/>
      <c r="V474" s="6"/>
      <c r="W474" s="6"/>
      <c r="X474" s="6"/>
      <c r="Y474" s="6" t="s">
        <v>954</v>
      </c>
    </row>
    <row r="475">
      <c r="S475" s="6"/>
      <c r="T475" s="6"/>
      <c r="U475" s="6"/>
      <c r="V475" s="6"/>
      <c r="W475" s="6"/>
      <c r="X475" s="6"/>
      <c r="Y475" s="6" t="s">
        <v>954</v>
      </c>
    </row>
    <row r="476">
      <c r="S476" s="6"/>
      <c r="T476" s="6"/>
      <c r="U476" s="6"/>
      <c r="V476" s="6"/>
      <c r="W476" s="6"/>
      <c r="X476" s="6"/>
      <c r="Y476" s="6" t="s">
        <v>954</v>
      </c>
    </row>
    <row r="477">
      <c r="S477" s="6"/>
      <c r="T477" s="6"/>
      <c r="U477" s="6"/>
      <c r="V477" s="6"/>
      <c r="W477" s="6"/>
      <c r="X477" s="6"/>
      <c r="Y477" s="6" t="s">
        <v>954</v>
      </c>
    </row>
    <row r="478">
      <c r="S478" s="6"/>
      <c r="T478" s="6"/>
      <c r="U478" s="6"/>
      <c r="V478" s="6"/>
      <c r="W478" s="6"/>
      <c r="X478" s="6"/>
      <c r="Y478" s="6" t="s">
        <v>954</v>
      </c>
    </row>
    <row r="479">
      <c r="S479" s="6"/>
      <c r="T479" s="6"/>
      <c r="U479" s="6"/>
      <c r="V479" s="6"/>
      <c r="W479" s="6"/>
      <c r="X479" s="6"/>
      <c r="Y479" s="6" t="s">
        <v>954</v>
      </c>
    </row>
    <row r="480">
      <c r="S480" s="6"/>
      <c r="T480" s="6"/>
      <c r="U480" s="6"/>
      <c r="V480" s="6"/>
      <c r="W480" s="6"/>
      <c r="X480" s="6"/>
      <c r="Y480" s="6" t="s">
        <v>954</v>
      </c>
    </row>
    <row r="481">
      <c r="S481" s="6"/>
      <c r="T481" s="6"/>
      <c r="U481" s="6"/>
      <c r="V481" s="6"/>
      <c r="W481" s="6"/>
      <c r="X481" s="6"/>
      <c r="Y481" s="6" t="s">
        <v>954</v>
      </c>
    </row>
    <row r="482">
      <c r="S482" s="6"/>
      <c r="T482" s="6"/>
      <c r="U482" s="6"/>
      <c r="V482" s="6"/>
      <c r="W482" s="6"/>
      <c r="X482" s="6"/>
      <c r="Y482" s="6" t="s">
        <v>954</v>
      </c>
    </row>
    <row r="483">
      <c r="S483" s="6"/>
      <c r="T483" s="6"/>
      <c r="U483" s="6"/>
      <c r="V483" s="6"/>
      <c r="W483" s="6"/>
      <c r="X483" s="6"/>
      <c r="Y483" s="6" t="s">
        <v>954</v>
      </c>
    </row>
    <row r="484">
      <c r="S484" s="6"/>
      <c r="T484" s="6"/>
      <c r="U484" s="6"/>
      <c r="V484" s="6"/>
      <c r="W484" s="6"/>
      <c r="X484" s="6"/>
      <c r="Y484" s="6" t="s">
        <v>954</v>
      </c>
    </row>
    <row r="485">
      <c r="S485" s="6"/>
      <c r="T485" s="6"/>
      <c r="U485" s="6"/>
      <c r="V485" s="6"/>
      <c r="W485" s="6"/>
      <c r="X485" s="6"/>
      <c r="Y485" s="6" t="s">
        <v>954</v>
      </c>
    </row>
    <row r="486">
      <c r="S486" s="6"/>
      <c r="T486" s="6"/>
      <c r="U486" s="6"/>
      <c r="V486" s="6"/>
      <c r="W486" s="6"/>
      <c r="X486" s="6"/>
      <c r="Y486" s="6" t="s">
        <v>954</v>
      </c>
    </row>
    <row r="487">
      <c r="S487" s="6"/>
      <c r="T487" s="6"/>
      <c r="U487" s="6"/>
      <c r="V487" s="6"/>
      <c r="W487" s="6"/>
      <c r="X487" s="6"/>
      <c r="Y487" s="6" t="s">
        <v>954</v>
      </c>
    </row>
    <row r="488">
      <c r="S488" s="6"/>
      <c r="T488" s="6"/>
      <c r="U488" s="6"/>
      <c r="V488" s="6"/>
      <c r="W488" s="6"/>
      <c r="X488" s="6"/>
      <c r="Y488" s="6" t="s">
        <v>954</v>
      </c>
    </row>
    <row r="489">
      <c r="S489" s="6"/>
      <c r="T489" s="6"/>
      <c r="U489" s="6"/>
      <c r="V489" s="6"/>
      <c r="W489" s="6"/>
      <c r="X489" s="6"/>
      <c r="Y489" s="6" t="s">
        <v>954</v>
      </c>
    </row>
    <row r="490">
      <c r="S490" s="6"/>
      <c r="T490" s="6"/>
      <c r="U490" s="6"/>
      <c r="V490" s="6"/>
      <c r="W490" s="6"/>
      <c r="X490" s="6"/>
      <c r="Y490" s="6" t="s">
        <v>954</v>
      </c>
    </row>
    <row r="491">
      <c r="S491" s="6"/>
      <c r="T491" s="6"/>
      <c r="U491" s="6"/>
      <c r="V491" s="6"/>
      <c r="W491" s="6"/>
      <c r="X491" s="6"/>
      <c r="Y491" s="6" t="s">
        <v>954</v>
      </c>
    </row>
    <row r="492">
      <c r="S492" s="6"/>
      <c r="T492" s="6"/>
      <c r="U492" s="6"/>
      <c r="V492" s="6"/>
      <c r="W492" s="6"/>
      <c r="X492" s="6"/>
      <c r="Y492" s="6" t="s">
        <v>954</v>
      </c>
    </row>
    <row r="493">
      <c r="S493" s="6"/>
      <c r="T493" s="6"/>
      <c r="U493" s="6"/>
      <c r="V493" s="6"/>
      <c r="W493" s="6"/>
      <c r="X493" s="6"/>
      <c r="Y493" s="6" t="s">
        <v>954</v>
      </c>
    </row>
    <row r="494">
      <c r="S494" s="6"/>
      <c r="T494" s="6"/>
      <c r="U494" s="6"/>
      <c r="V494" s="6"/>
      <c r="W494" s="6"/>
      <c r="X494" s="6"/>
      <c r="Y494" s="6" t="s">
        <v>954</v>
      </c>
    </row>
    <row r="495">
      <c r="S495" s="6"/>
      <c r="T495" s="6"/>
      <c r="U495" s="6"/>
      <c r="V495" s="6"/>
      <c r="W495" s="6"/>
      <c r="X495" s="6"/>
      <c r="Y495" s="6" t="s">
        <v>954</v>
      </c>
    </row>
    <row r="496">
      <c r="S496" s="6"/>
      <c r="T496" s="6"/>
      <c r="U496" s="6"/>
      <c r="V496" s="6"/>
      <c r="W496" s="6"/>
      <c r="X496" s="6"/>
      <c r="Y496" s="6" t="s">
        <v>954</v>
      </c>
    </row>
    <row r="497">
      <c r="S497" s="6"/>
      <c r="T497" s="6"/>
      <c r="U497" s="6"/>
      <c r="V497" s="6"/>
      <c r="W497" s="6"/>
      <c r="X497" s="6"/>
      <c r="Y497" s="6" t="s">
        <v>954</v>
      </c>
    </row>
    <row r="498">
      <c r="S498" s="6"/>
      <c r="T498" s="6"/>
      <c r="U498" s="6"/>
      <c r="V498" s="6"/>
      <c r="W498" s="6"/>
      <c r="X498" s="6"/>
      <c r="Y498" s="6" t="s">
        <v>954</v>
      </c>
    </row>
    <row r="499">
      <c r="S499" s="6"/>
      <c r="T499" s="6"/>
      <c r="U499" s="6"/>
      <c r="V499" s="6"/>
      <c r="W499" s="6"/>
      <c r="X499" s="6"/>
      <c r="Y499" s="6" t="s">
        <v>954</v>
      </c>
    </row>
    <row r="500">
      <c r="S500" s="6"/>
      <c r="T500" s="6"/>
      <c r="U500" s="6"/>
      <c r="V500" s="6"/>
      <c r="W500" s="6"/>
      <c r="X500" s="6"/>
      <c r="Y500" s="6" t="s">
        <v>954</v>
      </c>
    </row>
    <row r="501">
      <c r="S501" s="6"/>
      <c r="T501" s="6"/>
      <c r="U501" s="6"/>
      <c r="V501" s="6"/>
      <c r="W501" s="6"/>
      <c r="X501" s="6"/>
      <c r="Y501" s="6" t="s">
        <v>954</v>
      </c>
    </row>
    <row r="502">
      <c r="S502" s="6"/>
      <c r="T502" s="6"/>
      <c r="U502" s="6"/>
      <c r="V502" s="6"/>
      <c r="W502" s="6"/>
      <c r="X502" s="6"/>
      <c r="Y502" s="6" t="s">
        <v>954</v>
      </c>
    </row>
    <row r="503">
      <c r="S503" s="6"/>
      <c r="T503" s="6"/>
      <c r="U503" s="6"/>
      <c r="V503" s="6"/>
      <c r="W503" s="6"/>
      <c r="X503" s="6"/>
      <c r="Y503" s="6" t="s">
        <v>954</v>
      </c>
    </row>
    <row r="504">
      <c r="S504" s="6"/>
      <c r="T504" s="6"/>
      <c r="U504" s="6"/>
      <c r="V504" s="6"/>
      <c r="W504" s="6"/>
      <c r="X504" s="6"/>
      <c r="Y504" s="6" t="s">
        <v>954</v>
      </c>
    </row>
    <row r="505">
      <c r="S505" s="6"/>
      <c r="T505" s="6"/>
      <c r="U505" s="6"/>
      <c r="V505" s="6"/>
      <c r="W505" s="6"/>
      <c r="X505" s="6"/>
      <c r="Y505" s="6" t="s">
        <v>954</v>
      </c>
    </row>
    <row r="506">
      <c r="S506" s="6"/>
      <c r="T506" s="6"/>
      <c r="U506" s="6"/>
      <c r="V506" s="6"/>
      <c r="W506" s="6"/>
      <c r="X506" s="6"/>
      <c r="Y506" s="6" t="s">
        <v>954</v>
      </c>
    </row>
    <row r="507">
      <c r="S507" s="6"/>
      <c r="T507" s="6"/>
      <c r="U507" s="6"/>
      <c r="V507" s="6"/>
      <c r="W507" s="6"/>
      <c r="X507" s="6"/>
      <c r="Y507" s="6" t="s">
        <v>954</v>
      </c>
    </row>
    <row r="508">
      <c r="S508" s="6"/>
      <c r="T508" s="6"/>
      <c r="U508" s="6"/>
      <c r="V508" s="6"/>
      <c r="W508" s="6"/>
      <c r="X508" s="6"/>
      <c r="Y508" s="6" t="s">
        <v>954</v>
      </c>
    </row>
    <row r="509">
      <c r="S509" s="6"/>
      <c r="T509" s="6"/>
      <c r="U509" s="6"/>
      <c r="V509" s="6"/>
      <c r="W509" s="6"/>
      <c r="X509" s="6"/>
      <c r="Y509" s="6" t="s">
        <v>954</v>
      </c>
    </row>
    <row r="510">
      <c r="S510" s="6"/>
      <c r="T510" s="6"/>
      <c r="U510" s="6"/>
      <c r="V510" s="6"/>
      <c r="W510" s="6"/>
      <c r="X510" s="6"/>
      <c r="Y510" s="6" t="s">
        <v>954</v>
      </c>
    </row>
    <row r="511">
      <c r="S511" s="6"/>
      <c r="T511" s="6"/>
      <c r="U511" s="6"/>
      <c r="V511" s="6"/>
      <c r="W511" s="6"/>
      <c r="X511" s="6"/>
      <c r="Y511" s="6" t="s">
        <v>954</v>
      </c>
    </row>
    <row r="512">
      <c r="S512" s="6"/>
      <c r="T512" s="6"/>
      <c r="U512" s="6"/>
      <c r="V512" s="6"/>
      <c r="W512" s="6"/>
      <c r="X512" s="6"/>
      <c r="Y512" s="6" t="s">
        <v>954</v>
      </c>
    </row>
    <row r="513">
      <c r="S513" s="6"/>
      <c r="T513" s="6"/>
      <c r="U513" s="6"/>
      <c r="V513" s="6"/>
      <c r="W513" s="6"/>
      <c r="X513" s="6"/>
      <c r="Y513" s="6" t="s">
        <v>954</v>
      </c>
    </row>
    <row r="514">
      <c r="S514" s="6"/>
      <c r="T514" s="6"/>
      <c r="U514" s="6"/>
      <c r="V514" s="6"/>
      <c r="W514" s="6"/>
      <c r="X514" s="6"/>
      <c r="Y514" s="6" t="s">
        <v>954</v>
      </c>
    </row>
    <row r="515">
      <c r="S515" s="6"/>
      <c r="T515" s="6"/>
      <c r="U515" s="6"/>
      <c r="V515" s="6"/>
      <c r="W515" s="6"/>
      <c r="X515" s="6"/>
      <c r="Y515" s="6" t="s">
        <v>954</v>
      </c>
    </row>
    <row r="516">
      <c r="S516" s="6"/>
      <c r="T516" s="6"/>
      <c r="U516" s="6"/>
      <c r="V516" s="6"/>
      <c r="W516" s="6"/>
      <c r="X516" s="6"/>
      <c r="Y516" s="6" t="s">
        <v>954</v>
      </c>
    </row>
    <row r="517">
      <c r="S517" s="6"/>
      <c r="T517" s="6"/>
      <c r="U517" s="6"/>
      <c r="V517" s="6"/>
      <c r="W517" s="6"/>
      <c r="X517" s="6"/>
      <c r="Y517" s="6" t="s">
        <v>954</v>
      </c>
    </row>
    <row r="518">
      <c r="S518" s="6"/>
      <c r="T518" s="6"/>
      <c r="U518" s="6"/>
      <c r="V518" s="6"/>
      <c r="W518" s="6"/>
      <c r="X518" s="6"/>
      <c r="Y518" s="6" t="s">
        <v>954</v>
      </c>
    </row>
    <row r="519">
      <c r="S519" s="6"/>
      <c r="T519" s="6"/>
      <c r="U519" s="6"/>
      <c r="V519" s="6"/>
      <c r="W519" s="6"/>
      <c r="X519" s="6"/>
      <c r="Y519" s="6" t="s">
        <v>954</v>
      </c>
    </row>
    <row r="520">
      <c r="S520" s="6"/>
      <c r="T520" s="6"/>
      <c r="U520" s="6"/>
      <c r="V520" s="6"/>
      <c r="W520" s="6"/>
      <c r="X520" s="6"/>
      <c r="Y520" s="6" t="s">
        <v>954</v>
      </c>
    </row>
    <row r="521">
      <c r="S521" s="6"/>
      <c r="T521" s="6"/>
      <c r="U521" s="6"/>
      <c r="V521" s="6"/>
      <c r="W521" s="6"/>
      <c r="X521" s="6"/>
      <c r="Y521" s="6" t="s">
        <v>954</v>
      </c>
    </row>
    <row r="522">
      <c r="S522" s="6"/>
      <c r="T522" s="6"/>
      <c r="U522" s="6"/>
      <c r="V522" s="6"/>
      <c r="W522" s="6"/>
      <c r="X522" s="6"/>
      <c r="Y522" s="6" t="s">
        <v>954</v>
      </c>
    </row>
    <row r="523">
      <c r="S523" s="6"/>
      <c r="T523" s="6"/>
      <c r="U523" s="6"/>
      <c r="V523" s="6"/>
      <c r="W523" s="6"/>
      <c r="X523" s="6"/>
      <c r="Y523" s="6" t="s">
        <v>954</v>
      </c>
    </row>
    <row r="524">
      <c r="S524" s="6"/>
      <c r="T524" s="6"/>
      <c r="U524" s="6"/>
      <c r="V524" s="6"/>
      <c r="W524" s="6"/>
      <c r="X524" s="6"/>
      <c r="Y524" s="6" t="s">
        <v>954</v>
      </c>
    </row>
    <row r="525">
      <c r="S525" s="6"/>
      <c r="T525" s="6"/>
      <c r="U525" s="6"/>
      <c r="V525" s="6"/>
      <c r="W525" s="6"/>
      <c r="X525" s="6"/>
      <c r="Y525" s="6" t="s">
        <v>954</v>
      </c>
    </row>
    <row r="526">
      <c r="S526" s="6"/>
      <c r="T526" s="6"/>
      <c r="U526" s="6"/>
      <c r="V526" s="6"/>
      <c r="W526" s="6"/>
      <c r="X526" s="6"/>
      <c r="Y526" s="6" t="s">
        <v>954</v>
      </c>
    </row>
    <row r="527">
      <c r="S527" s="6"/>
      <c r="T527" s="6"/>
      <c r="U527" s="6"/>
      <c r="V527" s="6"/>
      <c r="W527" s="6"/>
      <c r="X527" s="6"/>
      <c r="Y527" s="6" t="s">
        <v>954</v>
      </c>
    </row>
    <row r="528">
      <c r="S528" s="6"/>
      <c r="T528" s="6"/>
      <c r="U528" s="6"/>
      <c r="V528" s="6"/>
      <c r="W528" s="6"/>
      <c r="X528" s="6"/>
      <c r="Y528" s="6" t="s">
        <v>954</v>
      </c>
    </row>
    <row r="529">
      <c r="S529" s="6"/>
      <c r="T529" s="6"/>
      <c r="U529" s="6"/>
      <c r="V529" s="6"/>
      <c r="W529" s="6"/>
      <c r="X529" s="6"/>
      <c r="Y529" s="6" t="s">
        <v>954</v>
      </c>
    </row>
    <row r="530">
      <c r="S530" s="6"/>
      <c r="T530" s="6"/>
      <c r="U530" s="6"/>
      <c r="V530" s="6"/>
      <c r="W530" s="6"/>
      <c r="X530" s="6"/>
      <c r="Y530" s="6" t="s">
        <v>954</v>
      </c>
    </row>
    <row r="531">
      <c r="S531" s="6"/>
      <c r="T531" s="6"/>
      <c r="U531" s="6"/>
      <c r="V531" s="6"/>
      <c r="W531" s="6"/>
      <c r="X531" s="6"/>
      <c r="Y531" s="6" t="s">
        <v>954</v>
      </c>
    </row>
    <row r="532">
      <c r="S532" s="6"/>
      <c r="T532" s="6"/>
      <c r="U532" s="6"/>
      <c r="V532" s="6"/>
      <c r="W532" s="6"/>
      <c r="X532" s="6"/>
      <c r="Y532" s="6" t="s">
        <v>954</v>
      </c>
    </row>
    <row r="533">
      <c r="S533" s="6"/>
      <c r="T533" s="6"/>
      <c r="U533" s="6"/>
      <c r="V533" s="6"/>
      <c r="W533" s="6"/>
      <c r="X533" s="6"/>
      <c r="Y533" s="6" t="s">
        <v>954</v>
      </c>
    </row>
    <row r="534">
      <c r="S534" s="6"/>
      <c r="T534" s="6"/>
      <c r="U534" s="6"/>
      <c r="V534" s="6"/>
      <c r="W534" s="6"/>
      <c r="X534" s="6"/>
      <c r="Y534" s="6" t="s">
        <v>954</v>
      </c>
    </row>
    <row r="535">
      <c r="S535" s="6"/>
      <c r="T535" s="6"/>
      <c r="U535" s="6"/>
      <c r="V535" s="6"/>
      <c r="W535" s="6"/>
      <c r="X535" s="6"/>
      <c r="Y535" s="6" t="s">
        <v>954</v>
      </c>
    </row>
    <row r="536">
      <c r="S536" s="6"/>
      <c r="T536" s="6"/>
      <c r="U536" s="6"/>
      <c r="V536" s="6"/>
      <c r="W536" s="6"/>
      <c r="X536" s="6"/>
      <c r="Y536" s="6" t="s">
        <v>954</v>
      </c>
    </row>
    <row r="537">
      <c r="S537" s="6"/>
      <c r="T537" s="6"/>
      <c r="U537" s="6"/>
      <c r="V537" s="6"/>
      <c r="W537" s="6"/>
      <c r="X537" s="6"/>
      <c r="Y537" s="6" t="s">
        <v>954</v>
      </c>
    </row>
    <row r="538">
      <c r="S538" s="6"/>
      <c r="T538" s="6"/>
      <c r="U538" s="6"/>
      <c r="V538" s="6"/>
      <c r="W538" s="6"/>
      <c r="X538" s="6"/>
      <c r="Y538" s="6" t="s">
        <v>954</v>
      </c>
    </row>
    <row r="539">
      <c r="S539" s="6"/>
      <c r="T539" s="6"/>
      <c r="U539" s="6"/>
      <c r="V539" s="6"/>
      <c r="W539" s="6"/>
      <c r="X539" s="6"/>
      <c r="Y539" s="6" t="s">
        <v>954</v>
      </c>
    </row>
    <row r="540">
      <c r="S540" s="6"/>
      <c r="T540" s="6"/>
      <c r="U540" s="6"/>
      <c r="V540" s="6"/>
      <c r="W540" s="6"/>
      <c r="X540" s="6"/>
      <c r="Y540" s="6" t="s">
        <v>954</v>
      </c>
    </row>
    <row r="541">
      <c r="S541" s="6"/>
      <c r="T541" s="6"/>
      <c r="U541" s="6"/>
      <c r="V541" s="6"/>
      <c r="W541" s="6"/>
      <c r="X541" s="6"/>
      <c r="Y541" s="6" t="s">
        <v>954</v>
      </c>
    </row>
    <row r="542">
      <c r="S542" s="6"/>
      <c r="T542" s="6"/>
      <c r="U542" s="6"/>
      <c r="V542" s="6"/>
      <c r="W542" s="6"/>
      <c r="X542" s="6"/>
      <c r="Y542" s="6" t="s">
        <v>954</v>
      </c>
    </row>
    <row r="543">
      <c r="S543" s="6"/>
      <c r="T543" s="6"/>
      <c r="U543" s="6"/>
      <c r="V543" s="6"/>
      <c r="W543" s="6"/>
      <c r="X543" s="6"/>
      <c r="Y543" s="6" t="s">
        <v>954</v>
      </c>
    </row>
    <row r="544">
      <c r="S544" s="6"/>
      <c r="T544" s="6"/>
      <c r="U544" s="6"/>
      <c r="V544" s="6"/>
      <c r="W544" s="6"/>
      <c r="X544" s="6"/>
      <c r="Y544" s="6" t="s">
        <v>954</v>
      </c>
    </row>
    <row r="545">
      <c r="S545" s="6"/>
      <c r="T545" s="6"/>
      <c r="U545" s="6"/>
      <c r="V545" s="6"/>
      <c r="W545" s="6"/>
      <c r="X545" s="6"/>
      <c r="Y545" s="6" t="s">
        <v>954</v>
      </c>
    </row>
    <row r="546">
      <c r="S546" s="6"/>
      <c r="T546" s="6"/>
      <c r="U546" s="6"/>
      <c r="V546" s="6"/>
      <c r="W546" s="6"/>
      <c r="X546" s="6"/>
      <c r="Y546" s="6" t="s">
        <v>954</v>
      </c>
    </row>
    <row r="547">
      <c r="S547" s="6"/>
      <c r="T547" s="6"/>
      <c r="U547" s="6"/>
      <c r="V547" s="6"/>
      <c r="W547" s="6"/>
      <c r="X547" s="6"/>
      <c r="Y547" s="6" t="s">
        <v>954</v>
      </c>
    </row>
    <row r="548">
      <c r="S548" s="6"/>
      <c r="T548" s="6"/>
      <c r="U548" s="6"/>
      <c r="V548" s="6"/>
      <c r="W548" s="6"/>
      <c r="X548" s="6"/>
      <c r="Y548" s="6" t="s">
        <v>954</v>
      </c>
    </row>
    <row r="549">
      <c r="S549" s="6"/>
      <c r="T549" s="6"/>
      <c r="U549" s="6"/>
      <c r="V549" s="6"/>
      <c r="W549" s="6"/>
      <c r="X549" s="6"/>
      <c r="Y549" s="6" t="s">
        <v>954</v>
      </c>
    </row>
    <row r="550">
      <c r="S550" s="6"/>
      <c r="T550" s="6"/>
      <c r="U550" s="6"/>
      <c r="V550" s="6"/>
      <c r="W550" s="6"/>
      <c r="X550" s="6"/>
      <c r="Y550" s="6" t="s">
        <v>954</v>
      </c>
    </row>
    <row r="551">
      <c r="S551" s="6"/>
      <c r="T551" s="6"/>
      <c r="U551" s="6"/>
      <c r="V551" s="6"/>
      <c r="W551" s="6"/>
      <c r="X551" s="6"/>
      <c r="Y551" s="6" t="s">
        <v>954</v>
      </c>
    </row>
    <row r="552">
      <c r="S552" s="6"/>
      <c r="T552" s="6"/>
      <c r="U552" s="6"/>
      <c r="V552" s="6"/>
      <c r="W552" s="6"/>
      <c r="X552" s="6"/>
      <c r="Y552" s="6" t="s">
        <v>954</v>
      </c>
    </row>
    <row r="553">
      <c r="S553" s="6"/>
      <c r="T553" s="6"/>
      <c r="U553" s="6"/>
      <c r="V553" s="6"/>
      <c r="W553" s="6"/>
      <c r="X553" s="6"/>
      <c r="Y553" s="6" t="s">
        <v>954</v>
      </c>
    </row>
    <row r="554">
      <c r="S554" s="6"/>
      <c r="T554" s="6"/>
      <c r="U554" s="6"/>
      <c r="V554" s="6"/>
      <c r="W554" s="6"/>
      <c r="X554" s="6"/>
      <c r="Y554" s="6" t="s">
        <v>954</v>
      </c>
    </row>
    <row r="555">
      <c r="S555" s="6"/>
      <c r="T555" s="6"/>
      <c r="U555" s="6"/>
      <c r="V555" s="6"/>
      <c r="W555" s="6"/>
      <c r="X555" s="6"/>
      <c r="Y555" s="6" t="s">
        <v>954</v>
      </c>
    </row>
    <row r="556">
      <c r="S556" s="6"/>
      <c r="T556" s="6"/>
      <c r="U556" s="6"/>
      <c r="V556" s="6"/>
      <c r="W556" s="6"/>
      <c r="X556" s="6"/>
      <c r="Y556" s="6" t="s">
        <v>954</v>
      </c>
    </row>
    <row r="557">
      <c r="S557" s="6"/>
      <c r="T557" s="6"/>
      <c r="U557" s="6"/>
      <c r="V557" s="6"/>
      <c r="W557" s="6"/>
      <c r="X557" s="6"/>
      <c r="Y557" s="6" t="s">
        <v>954</v>
      </c>
    </row>
    <row r="558">
      <c r="S558" s="6"/>
      <c r="T558" s="6"/>
      <c r="U558" s="6"/>
      <c r="V558" s="6"/>
      <c r="W558" s="6"/>
      <c r="X558" s="6"/>
      <c r="Y558" s="6" t="s">
        <v>954</v>
      </c>
    </row>
    <row r="559">
      <c r="S559" s="6"/>
      <c r="T559" s="6"/>
      <c r="U559" s="6"/>
      <c r="V559" s="6"/>
      <c r="W559" s="6"/>
      <c r="X559" s="6"/>
      <c r="Y559" s="6" t="s">
        <v>954</v>
      </c>
    </row>
    <row r="560">
      <c r="S560" s="6"/>
      <c r="T560" s="6"/>
      <c r="U560" s="6"/>
      <c r="V560" s="6"/>
      <c r="W560" s="6"/>
      <c r="X560" s="6"/>
      <c r="Y560" s="6" t="s">
        <v>954</v>
      </c>
    </row>
    <row r="561">
      <c r="S561" s="6"/>
      <c r="T561" s="6"/>
      <c r="U561" s="6"/>
      <c r="V561" s="6"/>
      <c r="W561" s="6"/>
      <c r="X561" s="6"/>
      <c r="Y561" s="6" t="s">
        <v>954</v>
      </c>
    </row>
    <row r="562">
      <c r="S562" s="6"/>
      <c r="T562" s="6"/>
      <c r="U562" s="6"/>
      <c r="V562" s="6"/>
      <c r="W562" s="6"/>
      <c r="X562" s="6"/>
      <c r="Y562" s="6" t="s">
        <v>954</v>
      </c>
    </row>
    <row r="563">
      <c r="S563" s="6"/>
      <c r="T563" s="6"/>
      <c r="U563" s="6"/>
      <c r="V563" s="6"/>
      <c r="W563" s="6"/>
      <c r="X563" s="6"/>
      <c r="Y563" s="6" t="s">
        <v>954</v>
      </c>
    </row>
    <row r="564">
      <c r="S564" s="6"/>
      <c r="T564" s="6"/>
      <c r="U564" s="6"/>
      <c r="V564" s="6"/>
      <c r="W564" s="6"/>
      <c r="X564" s="6"/>
      <c r="Y564" s="6" t="s">
        <v>954</v>
      </c>
    </row>
    <row r="565">
      <c r="S565" s="6"/>
      <c r="T565" s="6"/>
      <c r="U565" s="6"/>
      <c r="V565" s="6"/>
      <c r="W565" s="6"/>
      <c r="X565" s="6"/>
      <c r="Y565" s="6" t="s">
        <v>954</v>
      </c>
    </row>
    <row r="566">
      <c r="S566" s="6"/>
      <c r="T566" s="6"/>
      <c r="U566" s="6"/>
      <c r="V566" s="6"/>
      <c r="W566" s="6"/>
      <c r="X566" s="6"/>
      <c r="Y566" s="6" t="s">
        <v>954</v>
      </c>
    </row>
    <row r="567">
      <c r="S567" s="6"/>
      <c r="T567" s="6"/>
      <c r="U567" s="6"/>
      <c r="V567" s="6"/>
      <c r="W567" s="6"/>
      <c r="X567" s="6"/>
      <c r="Y567" s="6" t="s">
        <v>954</v>
      </c>
    </row>
    <row r="568">
      <c r="S568" s="6"/>
      <c r="T568" s="6"/>
      <c r="U568" s="6"/>
      <c r="V568" s="6"/>
      <c r="W568" s="6"/>
      <c r="X568" s="6"/>
      <c r="Y568" s="6" t="s">
        <v>954</v>
      </c>
    </row>
    <row r="569">
      <c r="S569" s="6"/>
      <c r="T569" s="6"/>
      <c r="U569" s="6"/>
      <c r="V569" s="6"/>
      <c r="W569" s="6"/>
      <c r="X569" s="6"/>
      <c r="Y569" s="6" t="s">
        <v>954</v>
      </c>
    </row>
    <row r="570">
      <c r="S570" s="6"/>
      <c r="T570" s="6"/>
      <c r="U570" s="6"/>
      <c r="V570" s="6"/>
      <c r="W570" s="6"/>
      <c r="X570" s="6"/>
      <c r="Y570" s="6" t="s">
        <v>954</v>
      </c>
    </row>
    <row r="571">
      <c r="S571" s="6"/>
      <c r="T571" s="6"/>
      <c r="U571" s="6"/>
      <c r="V571" s="6"/>
      <c r="W571" s="6"/>
      <c r="X571" s="6"/>
      <c r="Y571" s="6" t="s">
        <v>954</v>
      </c>
    </row>
    <row r="572">
      <c r="S572" s="6"/>
      <c r="T572" s="6"/>
      <c r="U572" s="6"/>
      <c r="V572" s="6"/>
      <c r="W572" s="6"/>
      <c r="X572" s="6"/>
      <c r="Y572" s="6" t="s">
        <v>954</v>
      </c>
    </row>
    <row r="573">
      <c r="S573" s="6"/>
      <c r="T573" s="6"/>
      <c r="U573" s="6"/>
      <c r="V573" s="6"/>
      <c r="W573" s="6"/>
      <c r="X573" s="6"/>
      <c r="Y573" s="6" t="s">
        <v>954</v>
      </c>
    </row>
    <row r="574">
      <c r="S574" s="6"/>
      <c r="T574" s="6"/>
      <c r="U574" s="6"/>
      <c r="V574" s="6"/>
      <c r="W574" s="6"/>
      <c r="X574" s="6"/>
      <c r="Y574" s="6" t="s">
        <v>954</v>
      </c>
    </row>
    <row r="575">
      <c r="S575" s="6"/>
      <c r="T575" s="6"/>
      <c r="U575" s="6"/>
      <c r="V575" s="6"/>
      <c r="W575" s="6"/>
      <c r="X575" s="6"/>
      <c r="Y575" s="6" t="s">
        <v>954</v>
      </c>
    </row>
    <row r="576">
      <c r="S576" s="6"/>
      <c r="T576" s="6"/>
      <c r="U576" s="6"/>
      <c r="V576" s="6"/>
      <c r="W576" s="6"/>
      <c r="X576" s="6"/>
      <c r="Y576" s="6" t="s">
        <v>954</v>
      </c>
    </row>
    <row r="577">
      <c r="S577" s="6"/>
      <c r="T577" s="6"/>
      <c r="U577" s="6"/>
      <c r="V577" s="6"/>
      <c r="W577" s="6"/>
      <c r="X577" s="6"/>
      <c r="Y577" s="6" t="s">
        <v>954</v>
      </c>
    </row>
    <row r="578">
      <c r="S578" s="6"/>
      <c r="T578" s="6"/>
      <c r="U578" s="6"/>
      <c r="V578" s="6"/>
      <c r="W578" s="6"/>
      <c r="X578" s="6"/>
      <c r="Y578" s="6" t="s">
        <v>954</v>
      </c>
    </row>
    <row r="579">
      <c r="S579" s="6"/>
      <c r="T579" s="6"/>
      <c r="U579" s="6"/>
      <c r="V579" s="6"/>
      <c r="W579" s="6"/>
      <c r="X579" s="6"/>
      <c r="Y579" s="6" t="s">
        <v>954</v>
      </c>
    </row>
    <row r="580">
      <c r="S580" s="6"/>
      <c r="T580" s="6"/>
      <c r="U580" s="6"/>
      <c r="V580" s="6"/>
      <c r="W580" s="6"/>
      <c r="X580" s="6"/>
      <c r="Y580" s="6" t="s">
        <v>954</v>
      </c>
    </row>
    <row r="581">
      <c r="S581" s="6"/>
      <c r="T581" s="6"/>
      <c r="U581" s="6"/>
      <c r="V581" s="6"/>
      <c r="W581" s="6"/>
      <c r="X581" s="6"/>
      <c r="Y581" s="6" t="s">
        <v>954</v>
      </c>
    </row>
    <row r="582">
      <c r="S582" s="6"/>
      <c r="T582" s="6"/>
      <c r="U582" s="6"/>
      <c r="V582" s="6"/>
      <c r="W582" s="6"/>
      <c r="X582" s="6"/>
      <c r="Y582" s="6" t="s">
        <v>954</v>
      </c>
    </row>
    <row r="583">
      <c r="S583" s="6"/>
      <c r="T583" s="6"/>
      <c r="U583" s="6"/>
      <c r="V583" s="6"/>
      <c r="W583" s="6"/>
      <c r="X583" s="6"/>
      <c r="Y583" s="6" t="s">
        <v>954</v>
      </c>
    </row>
    <row r="584">
      <c r="S584" s="6"/>
      <c r="T584" s="6"/>
      <c r="U584" s="6"/>
      <c r="V584" s="6"/>
      <c r="W584" s="6"/>
      <c r="X584" s="6"/>
      <c r="Y584" s="6" t="s">
        <v>954</v>
      </c>
    </row>
    <row r="585">
      <c r="S585" s="6"/>
      <c r="T585" s="6"/>
      <c r="U585" s="6"/>
      <c r="V585" s="6"/>
      <c r="W585" s="6"/>
      <c r="X585" s="6"/>
      <c r="Y585" s="6" t="s">
        <v>954</v>
      </c>
    </row>
    <row r="586">
      <c r="S586" s="6"/>
      <c r="T586" s="6"/>
      <c r="U586" s="6"/>
      <c r="V586" s="6"/>
      <c r="W586" s="6"/>
      <c r="X586" s="6"/>
      <c r="Y586" s="6" t="s">
        <v>954</v>
      </c>
    </row>
    <row r="587">
      <c r="S587" s="6"/>
      <c r="T587" s="6"/>
      <c r="U587" s="6"/>
      <c r="V587" s="6"/>
      <c r="W587" s="6"/>
      <c r="X587" s="6"/>
      <c r="Y587" s="6" t="s">
        <v>954</v>
      </c>
    </row>
    <row r="588">
      <c r="S588" s="6"/>
      <c r="T588" s="6"/>
      <c r="U588" s="6"/>
      <c r="V588" s="6"/>
      <c r="W588" s="6"/>
      <c r="X588" s="6"/>
      <c r="Y588" s="6" t="s">
        <v>954</v>
      </c>
    </row>
    <row r="589">
      <c r="S589" s="6"/>
      <c r="T589" s="6"/>
      <c r="U589" s="6"/>
      <c r="V589" s="6"/>
      <c r="W589" s="6"/>
      <c r="X589" s="6"/>
      <c r="Y589" s="6" t="s">
        <v>954</v>
      </c>
    </row>
    <row r="590">
      <c r="S590" s="6"/>
      <c r="T590" s="6"/>
      <c r="U590" s="6"/>
      <c r="V590" s="6"/>
      <c r="W590" s="6"/>
      <c r="X590" s="6"/>
      <c r="Y590" s="6" t="s">
        <v>954</v>
      </c>
    </row>
    <row r="591">
      <c r="S591" s="6"/>
      <c r="T591" s="6"/>
      <c r="U591" s="6"/>
      <c r="V591" s="6"/>
      <c r="W591" s="6"/>
      <c r="X591" s="6"/>
      <c r="Y591" s="6" t="s">
        <v>954</v>
      </c>
    </row>
    <row r="592">
      <c r="S592" s="6"/>
      <c r="T592" s="6"/>
      <c r="U592" s="6"/>
      <c r="V592" s="6"/>
      <c r="W592" s="6"/>
      <c r="X592" s="6"/>
      <c r="Y592" s="6" t="s">
        <v>954</v>
      </c>
    </row>
    <row r="593">
      <c r="S593" s="6"/>
      <c r="T593" s="6"/>
      <c r="U593" s="6"/>
      <c r="V593" s="6"/>
      <c r="W593" s="6"/>
      <c r="X593" s="6"/>
      <c r="Y593" s="6" t="s">
        <v>954</v>
      </c>
    </row>
    <row r="594">
      <c r="S594" s="6"/>
      <c r="T594" s="6"/>
      <c r="U594" s="6"/>
      <c r="V594" s="6"/>
      <c r="W594" s="6"/>
      <c r="X594" s="6"/>
      <c r="Y594" s="6" t="s">
        <v>954</v>
      </c>
    </row>
    <row r="595">
      <c r="S595" s="6"/>
      <c r="T595" s="6"/>
      <c r="U595" s="6"/>
      <c r="V595" s="6"/>
      <c r="W595" s="6"/>
      <c r="X595" s="6"/>
      <c r="Y595" s="6" t="s">
        <v>954</v>
      </c>
    </row>
    <row r="596">
      <c r="S596" s="6"/>
      <c r="T596" s="6"/>
      <c r="U596" s="6"/>
      <c r="V596" s="6"/>
      <c r="W596" s="6"/>
      <c r="X596" s="6"/>
      <c r="Y596" s="6" t="s">
        <v>954</v>
      </c>
    </row>
    <row r="597">
      <c r="S597" s="6"/>
      <c r="T597" s="6"/>
      <c r="U597" s="6"/>
      <c r="V597" s="6"/>
      <c r="W597" s="6"/>
      <c r="X597" s="6"/>
      <c r="Y597" s="6" t="s">
        <v>954</v>
      </c>
    </row>
    <row r="598">
      <c r="S598" s="6"/>
      <c r="T598" s="6"/>
      <c r="U598" s="6"/>
      <c r="V598" s="6"/>
      <c r="W598" s="6"/>
      <c r="X598" s="6"/>
      <c r="Y598" s="6" t="s">
        <v>954</v>
      </c>
    </row>
    <row r="599">
      <c r="S599" s="6"/>
      <c r="T599" s="6"/>
      <c r="U599" s="6"/>
      <c r="V599" s="6"/>
      <c r="W599" s="6"/>
      <c r="X599" s="6"/>
      <c r="Y599" s="6" t="s">
        <v>954</v>
      </c>
    </row>
    <row r="600">
      <c r="S600" s="6"/>
      <c r="T600" s="6"/>
      <c r="U600" s="6"/>
      <c r="V600" s="6"/>
      <c r="W600" s="6"/>
      <c r="X600" s="6"/>
      <c r="Y600" s="6" t="s">
        <v>954</v>
      </c>
    </row>
    <row r="601">
      <c r="S601" s="6"/>
      <c r="T601" s="6"/>
      <c r="U601" s="6"/>
      <c r="V601" s="6"/>
      <c r="W601" s="6"/>
      <c r="X601" s="6"/>
      <c r="Y601" s="6" t="s">
        <v>954</v>
      </c>
    </row>
    <row r="602">
      <c r="S602" s="6"/>
      <c r="T602" s="6"/>
      <c r="U602" s="6"/>
      <c r="V602" s="6"/>
      <c r="W602" s="6"/>
      <c r="X602" s="6"/>
      <c r="Y602" s="6" t="s">
        <v>954</v>
      </c>
    </row>
    <row r="603">
      <c r="S603" s="6"/>
      <c r="T603" s="6"/>
      <c r="U603" s="6"/>
      <c r="V603" s="6"/>
      <c r="W603" s="6"/>
      <c r="X603" s="6"/>
      <c r="Y603" s="6" t="s">
        <v>954</v>
      </c>
    </row>
    <row r="604">
      <c r="S604" s="6"/>
      <c r="T604" s="6"/>
      <c r="U604" s="6"/>
      <c r="V604" s="6"/>
      <c r="W604" s="6"/>
      <c r="X604" s="6"/>
      <c r="Y604" s="6" t="s">
        <v>954</v>
      </c>
    </row>
    <row r="605">
      <c r="S605" s="6"/>
      <c r="T605" s="6"/>
      <c r="U605" s="6"/>
      <c r="V605" s="6"/>
      <c r="W605" s="6"/>
      <c r="X605" s="6"/>
      <c r="Y605" s="6" t="s">
        <v>954</v>
      </c>
    </row>
    <row r="606">
      <c r="S606" s="6"/>
      <c r="T606" s="6"/>
      <c r="U606" s="6"/>
      <c r="V606" s="6"/>
      <c r="W606" s="6"/>
      <c r="X606" s="6"/>
      <c r="Y606" s="6" t="s">
        <v>954</v>
      </c>
    </row>
    <row r="607">
      <c r="S607" s="6"/>
      <c r="T607" s="6"/>
      <c r="U607" s="6"/>
      <c r="V607" s="6"/>
      <c r="W607" s="6"/>
      <c r="X607" s="6"/>
      <c r="Y607" s="6" t="s">
        <v>954</v>
      </c>
    </row>
    <row r="608">
      <c r="S608" s="6"/>
      <c r="T608" s="6"/>
      <c r="U608" s="6"/>
      <c r="V608" s="6"/>
      <c r="W608" s="6"/>
      <c r="X608" s="6"/>
      <c r="Y608" s="6" t="s">
        <v>954</v>
      </c>
    </row>
    <row r="609">
      <c r="S609" s="6"/>
      <c r="T609" s="6"/>
      <c r="U609" s="6"/>
      <c r="V609" s="6"/>
      <c r="W609" s="6"/>
      <c r="X609" s="6"/>
      <c r="Y609" s="6" t="s">
        <v>954</v>
      </c>
    </row>
    <row r="610">
      <c r="S610" s="6"/>
      <c r="T610" s="6"/>
      <c r="U610" s="6"/>
      <c r="V610" s="6"/>
      <c r="W610" s="6"/>
      <c r="X610" s="6"/>
      <c r="Y610" s="6" t="s">
        <v>954</v>
      </c>
    </row>
    <row r="611">
      <c r="S611" s="6"/>
      <c r="T611" s="6"/>
      <c r="U611" s="6"/>
      <c r="V611" s="6"/>
      <c r="W611" s="6"/>
      <c r="X611" s="6"/>
      <c r="Y611" s="6" t="s">
        <v>954</v>
      </c>
    </row>
    <row r="612">
      <c r="S612" s="6"/>
      <c r="T612" s="6"/>
      <c r="U612" s="6"/>
      <c r="V612" s="6"/>
      <c r="W612" s="6"/>
      <c r="X612" s="6"/>
      <c r="Y612" s="6" t="s">
        <v>954</v>
      </c>
    </row>
    <row r="613">
      <c r="S613" s="6"/>
      <c r="T613" s="6"/>
      <c r="U613" s="6"/>
      <c r="V613" s="6"/>
      <c r="W613" s="6"/>
      <c r="X613" s="6"/>
      <c r="Y613" s="6" t="s">
        <v>954</v>
      </c>
    </row>
    <row r="614">
      <c r="S614" s="6"/>
      <c r="T614" s="6"/>
      <c r="U614" s="6"/>
      <c r="V614" s="6"/>
      <c r="W614" s="6"/>
      <c r="X614" s="6"/>
      <c r="Y614" s="6" t="s">
        <v>954</v>
      </c>
    </row>
    <row r="615">
      <c r="S615" s="6"/>
      <c r="T615" s="6"/>
      <c r="U615" s="6"/>
      <c r="V615" s="6"/>
      <c r="W615" s="6"/>
      <c r="X615" s="6"/>
      <c r="Y615" s="6" t="s">
        <v>954</v>
      </c>
    </row>
    <row r="616">
      <c r="S616" s="6"/>
      <c r="T616" s="6"/>
      <c r="U616" s="6"/>
      <c r="V616" s="6"/>
      <c r="W616" s="6"/>
      <c r="X616" s="6"/>
      <c r="Y616" s="6" t="s">
        <v>954</v>
      </c>
    </row>
    <row r="617">
      <c r="S617" s="6"/>
      <c r="T617" s="6"/>
      <c r="U617" s="6"/>
      <c r="V617" s="6"/>
      <c r="W617" s="6"/>
      <c r="X617" s="6"/>
      <c r="Y617" s="6" t="s">
        <v>954</v>
      </c>
    </row>
    <row r="618">
      <c r="S618" s="6"/>
      <c r="T618" s="6"/>
      <c r="U618" s="6"/>
      <c r="V618" s="6"/>
      <c r="W618" s="6"/>
      <c r="X618" s="6"/>
      <c r="Y618" s="6" t="s">
        <v>954</v>
      </c>
    </row>
    <row r="619">
      <c r="S619" s="6"/>
      <c r="T619" s="6"/>
      <c r="U619" s="6"/>
      <c r="V619" s="6"/>
      <c r="W619" s="6"/>
      <c r="X619" s="6"/>
      <c r="Y619" s="6" t="s">
        <v>954</v>
      </c>
    </row>
    <row r="620">
      <c r="S620" s="6"/>
      <c r="T620" s="6"/>
      <c r="U620" s="6"/>
      <c r="V620" s="6"/>
      <c r="W620" s="6"/>
      <c r="X620" s="6"/>
      <c r="Y620" s="6" t="s">
        <v>954</v>
      </c>
    </row>
    <row r="621">
      <c r="S621" s="6"/>
      <c r="T621" s="6"/>
      <c r="U621" s="6"/>
      <c r="V621" s="6"/>
      <c r="W621" s="6"/>
      <c r="X621" s="6"/>
      <c r="Y621" s="6" t="s">
        <v>954</v>
      </c>
    </row>
    <row r="622">
      <c r="S622" s="6"/>
      <c r="T622" s="6"/>
      <c r="U622" s="6"/>
      <c r="V622" s="6"/>
      <c r="W622" s="6"/>
      <c r="X622" s="6"/>
      <c r="Y622" s="6" t="s">
        <v>954</v>
      </c>
    </row>
    <row r="623">
      <c r="S623" s="6"/>
      <c r="T623" s="6"/>
      <c r="U623" s="6"/>
      <c r="V623" s="6"/>
      <c r="W623" s="6"/>
      <c r="X623" s="6"/>
      <c r="Y623" s="6" t="s">
        <v>954</v>
      </c>
    </row>
    <row r="624">
      <c r="S624" s="6"/>
      <c r="T624" s="6"/>
      <c r="U624" s="6"/>
      <c r="V624" s="6"/>
      <c r="W624" s="6"/>
      <c r="X624" s="6"/>
      <c r="Y624" s="6" t="s">
        <v>954</v>
      </c>
    </row>
    <row r="625">
      <c r="S625" s="6"/>
      <c r="T625" s="6"/>
      <c r="U625" s="6"/>
      <c r="V625" s="6"/>
      <c r="W625" s="6"/>
      <c r="X625" s="6"/>
      <c r="Y625" s="6" t="s">
        <v>954</v>
      </c>
    </row>
    <row r="626">
      <c r="S626" s="6"/>
      <c r="T626" s="6"/>
      <c r="U626" s="6"/>
      <c r="V626" s="6"/>
      <c r="W626" s="6"/>
      <c r="X626" s="6"/>
      <c r="Y626" s="6" t="s">
        <v>954</v>
      </c>
    </row>
    <row r="627">
      <c r="S627" s="6"/>
      <c r="T627" s="6"/>
      <c r="U627" s="6"/>
      <c r="V627" s="6"/>
      <c r="W627" s="6"/>
      <c r="X627" s="6"/>
      <c r="Y627" s="6" t="s">
        <v>954</v>
      </c>
    </row>
    <row r="628">
      <c r="S628" s="6"/>
      <c r="T628" s="6"/>
      <c r="U628" s="6"/>
      <c r="V628" s="6"/>
      <c r="W628" s="6"/>
      <c r="X628" s="6"/>
      <c r="Y628" s="6" t="s">
        <v>954</v>
      </c>
    </row>
    <row r="629">
      <c r="S629" s="6"/>
      <c r="T629" s="6"/>
      <c r="U629" s="6"/>
      <c r="V629" s="6"/>
      <c r="W629" s="6"/>
      <c r="X629" s="6"/>
      <c r="Y629" s="6" t="s">
        <v>954</v>
      </c>
    </row>
    <row r="630">
      <c r="S630" s="6"/>
      <c r="T630" s="6"/>
      <c r="U630" s="6"/>
      <c r="V630" s="6"/>
      <c r="W630" s="6"/>
      <c r="X630" s="6"/>
      <c r="Y630" s="6" t="s">
        <v>954</v>
      </c>
    </row>
    <row r="631">
      <c r="S631" s="6"/>
      <c r="T631" s="6"/>
      <c r="U631" s="6"/>
      <c r="V631" s="6"/>
      <c r="W631" s="6"/>
      <c r="X631" s="6"/>
      <c r="Y631" s="6" t="s">
        <v>954</v>
      </c>
    </row>
    <row r="632">
      <c r="S632" s="6"/>
      <c r="T632" s="6"/>
      <c r="U632" s="6"/>
      <c r="V632" s="6"/>
      <c r="W632" s="6"/>
      <c r="X632" s="6"/>
      <c r="Y632" s="6" t="s">
        <v>954</v>
      </c>
    </row>
    <row r="633">
      <c r="S633" s="6"/>
      <c r="T633" s="6"/>
      <c r="U633" s="6"/>
      <c r="V633" s="6"/>
      <c r="W633" s="6"/>
      <c r="X633" s="6"/>
      <c r="Y633" s="6" t="s">
        <v>954</v>
      </c>
    </row>
    <row r="634">
      <c r="S634" s="6"/>
      <c r="T634" s="6"/>
      <c r="U634" s="6"/>
      <c r="V634" s="6"/>
      <c r="W634" s="6"/>
      <c r="X634" s="6"/>
      <c r="Y634" s="6" t="s">
        <v>954</v>
      </c>
    </row>
    <row r="635">
      <c r="S635" s="6"/>
      <c r="T635" s="6"/>
      <c r="U635" s="6"/>
      <c r="V635" s="6"/>
      <c r="W635" s="6"/>
      <c r="X635" s="6"/>
      <c r="Y635" s="6" t="s">
        <v>954</v>
      </c>
    </row>
    <row r="636">
      <c r="S636" s="6"/>
      <c r="T636" s="6"/>
      <c r="U636" s="6"/>
      <c r="V636" s="6"/>
      <c r="W636" s="6"/>
      <c r="X636" s="6"/>
      <c r="Y636" s="6" t="s">
        <v>954</v>
      </c>
    </row>
    <row r="637">
      <c r="S637" s="6"/>
      <c r="T637" s="6"/>
      <c r="U637" s="6"/>
      <c r="V637" s="6"/>
      <c r="W637" s="6"/>
      <c r="X637" s="6"/>
      <c r="Y637" s="6" t="s">
        <v>954</v>
      </c>
    </row>
    <row r="638">
      <c r="S638" s="6"/>
      <c r="T638" s="6"/>
      <c r="U638" s="6"/>
      <c r="V638" s="6"/>
      <c r="W638" s="6"/>
      <c r="X638" s="6"/>
      <c r="Y638" s="6" t="s">
        <v>954</v>
      </c>
    </row>
    <row r="639">
      <c r="S639" s="6"/>
      <c r="T639" s="6"/>
      <c r="U639" s="6"/>
      <c r="V639" s="6"/>
      <c r="W639" s="6"/>
      <c r="X639" s="6"/>
      <c r="Y639" s="6" t="s">
        <v>954</v>
      </c>
    </row>
    <row r="640">
      <c r="S640" s="6"/>
      <c r="T640" s="6"/>
      <c r="U640" s="6"/>
      <c r="V640" s="6"/>
      <c r="W640" s="6"/>
      <c r="X640" s="6"/>
      <c r="Y640" s="6" t="s">
        <v>954</v>
      </c>
    </row>
    <row r="641">
      <c r="S641" s="6"/>
      <c r="T641" s="6"/>
      <c r="U641" s="6"/>
      <c r="V641" s="6"/>
      <c r="W641" s="6"/>
      <c r="X641" s="6"/>
      <c r="Y641" s="6" t="s">
        <v>954</v>
      </c>
    </row>
    <row r="642">
      <c r="S642" s="6"/>
      <c r="T642" s="6"/>
      <c r="U642" s="6"/>
      <c r="V642" s="6"/>
      <c r="W642" s="6"/>
      <c r="X642" s="6"/>
      <c r="Y642" s="6" t="s">
        <v>954</v>
      </c>
    </row>
    <row r="643">
      <c r="S643" s="6"/>
      <c r="T643" s="6"/>
      <c r="U643" s="6"/>
      <c r="V643" s="6"/>
      <c r="W643" s="6"/>
      <c r="X643" s="6"/>
      <c r="Y643" s="6" t="s">
        <v>954</v>
      </c>
    </row>
    <row r="644">
      <c r="S644" s="6"/>
      <c r="T644" s="6"/>
      <c r="U644" s="6"/>
      <c r="V644" s="6"/>
      <c r="W644" s="6"/>
      <c r="X644" s="6"/>
      <c r="Y644" s="6" t="s">
        <v>954</v>
      </c>
    </row>
    <row r="645">
      <c r="S645" s="6"/>
      <c r="T645" s="6"/>
      <c r="U645" s="6"/>
      <c r="V645" s="6"/>
      <c r="W645" s="6"/>
      <c r="X645" s="6"/>
      <c r="Y645" s="6" t="s">
        <v>954</v>
      </c>
    </row>
    <row r="646">
      <c r="S646" s="6"/>
      <c r="T646" s="6"/>
      <c r="U646" s="6"/>
      <c r="V646" s="6"/>
      <c r="W646" s="6"/>
      <c r="X646" s="6"/>
      <c r="Y646" s="6" t="s">
        <v>954</v>
      </c>
    </row>
    <row r="647">
      <c r="S647" s="6"/>
      <c r="T647" s="6"/>
      <c r="U647" s="6"/>
      <c r="V647" s="6"/>
      <c r="W647" s="6"/>
      <c r="X647" s="6"/>
      <c r="Y647" s="6" t="s">
        <v>954</v>
      </c>
    </row>
    <row r="648">
      <c r="S648" s="6"/>
      <c r="T648" s="6"/>
      <c r="U648" s="6"/>
      <c r="V648" s="6"/>
      <c r="W648" s="6"/>
      <c r="X648" s="6"/>
      <c r="Y648" s="6" t="s">
        <v>954</v>
      </c>
    </row>
    <row r="649">
      <c r="S649" s="6"/>
      <c r="T649" s="6"/>
      <c r="U649" s="6"/>
      <c r="V649" s="6"/>
      <c r="W649" s="6"/>
      <c r="X649" s="6"/>
      <c r="Y649" s="6" t="s">
        <v>954</v>
      </c>
    </row>
    <row r="650">
      <c r="S650" s="6"/>
      <c r="T650" s="6"/>
      <c r="U650" s="6"/>
      <c r="V650" s="6"/>
      <c r="W650" s="6"/>
      <c r="X650" s="6"/>
      <c r="Y650" s="6" t="s">
        <v>954</v>
      </c>
    </row>
    <row r="651">
      <c r="S651" s="6"/>
      <c r="T651" s="6"/>
      <c r="U651" s="6"/>
      <c r="V651" s="6"/>
      <c r="W651" s="6"/>
      <c r="X651" s="6"/>
      <c r="Y651" s="6" t="s">
        <v>954</v>
      </c>
    </row>
    <row r="652">
      <c r="S652" s="6"/>
      <c r="T652" s="6"/>
      <c r="U652" s="6"/>
      <c r="V652" s="6"/>
      <c r="W652" s="6"/>
      <c r="X652" s="6"/>
      <c r="Y652" s="6" t="s">
        <v>954</v>
      </c>
    </row>
    <row r="653">
      <c r="S653" s="6"/>
      <c r="T653" s="6"/>
      <c r="U653" s="6"/>
      <c r="V653" s="6"/>
      <c r="W653" s="6"/>
      <c r="X653" s="6"/>
      <c r="Y653" s="6" t="s">
        <v>954</v>
      </c>
    </row>
    <row r="654">
      <c r="S654" s="6"/>
      <c r="T654" s="6"/>
      <c r="U654" s="6"/>
      <c r="V654" s="6"/>
      <c r="W654" s="6"/>
      <c r="X654" s="6"/>
      <c r="Y654" s="6" t="s">
        <v>954</v>
      </c>
    </row>
    <row r="655">
      <c r="S655" s="6"/>
      <c r="T655" s="6"/>
      <c r="U655" s="6"/>
      <c r="V655" s="6"/>
      <c r="W655" s="6"/>
      <c r="X655" s="6"/>
      <c r="Y655" s="6" t="s">
        <v>954</v>
      </c>
    </row>
    <row r="656">
      <c r="S656" s="6"/>
      <c r="T656" s="6"/>
      <c r="U656" s="6"/>
      <c r="V656" s="6"/>
      <c r="W656" s="6"/>
      <c r="X656" s="6"/>
      <c r="Y656" s="6" t="s">
        <v>954</v>
      </c>
    </row>
    <row r="657">
      <c r="S657" s="6"/>
      <c r="T657" s="6"/>
      <c r="U657" s="6"/>
      <c r="V657" s="6"/>
      <c r="W657" s="6"/>
      <c r="X657" s="6"/>
      <c r="Y657" s="6" t="s">
        <v>954</v>
      </c>
    </row>
    <row r="658">
      <c r="S658" s="6"/>
      <c r="T658" s="6"/>
      <c r="U658" s="6"/>
      <c r="V658" s="6"/>
      <c r="W658" s="6"/>
      <c r="X658" s="6"/>
      <c r="Y658" s="6" t="s">
        <v>954</v>
      </c>
    </row>
    <row r="659">
      <c r="S659" s="6"/>
      <c r="T659" s="6"/>
      <c r="U659" s="6"/>
      <c r="V659" s="6"/>
      <c r="W659" s="6"/>
      <c r="X659" s="6"/>
      <c r="Y659" s="6" t="s">
        <v>954</v>
      </c>
    </row>
    <row r="660">
      <c r="S660" s="6"/>
      <c r="T660" s="6"/>
      <c r="U660" s="6"/>
      <c r="V660" s="6"/>
      <c r="W660" s="6"/>
      <c r="X660" s="6"/>
      <c r="Y660" s="6" t="s">
        <v>954</v>
      </c>
    </row>
    <row r="661">
      <c r="S661" s="6"/>
      <c r="T661" s="6"/>
      <c r="U661" s="6"/>
      <c r="V661" s="6"/>
      <c r="W661" s="6"/>
      <c r="X661" s="6"/>
      <c r="Y661" s="6" t="s">
        <v>954</v>
      </c>
    </row>
    <row r="662">
      <c r="S662" s="6"/>
      <c r="T662" s="6"/>
      <c r="U662" s="6"/>
      <c r="V662" s="6"/>
      <c r="W662" s="6"/>
      <c r="X662" s="6"/>
      <c r="Y662" s="6" t="s">
        <v>954</v>
      </c>
    </row>
    <row r="663">
      <c r="S663" s="6"/>
      <c r="T663" s="6"/>
      <c r="U663" s="6"/>
      <c r="V663" s="6"/>
      <c r="W663" s="6"/>
      <c r="X663" s="6"/>
      <c r="Y663" s="6" t="s">
        <v>954</v>
      </c>
    </row>
    <row r="664">
      <c r="S664" s="6"/>
      <c r="T664" s="6"/>
      <c r="U664" s="6"/>
      <c r="V664" s="6"/>
      <c r="W664" s="6"/>
      <c r="X664" s="6"/>
      <c r="Y664" s="6" t="s">
        <v>954</v>
      </c>
    </row>
    <row r="665">
      <c r="S665" s="6"/>
      <c r="T665" s="6"/>
      <c r="U665" s="6"/>
      <c r="V665" s="6"/>
      <c r="W665" s="6"/>
      <c r="X665" s="6"/>
      <c r="Y665" s="6" t="s">
        <v>954</v>
      </c>
    </row>
    <row r="666">
      <c r="S666" s="6"/>
      <c r="T666" s="6"/>
      <c r="U666" s="6"/>
      <c r="V666" s="6"/>
      <c r="W666" s="6"/>
      <c r="X666" s="6"/>
      <c r="Y666" s="6" t="s">
        <v>954</v>
      </c>
    </row>
    <row r="667">
      <c r="S667" s="6"/>
      <c r="T667" s="6"/>
      <c r="U667" s="6"/>
      <c r="V667" s="6"/>
      <c r="W667" s="6"/>
      <c r="X667" s="6"/>
      <c r="Y667" s="6" t="s">
        <v>954</v>
      </c>
    </row>
    <row r="668">
      <c r="S668" s="6"/>
      <c r="T668" s="6"/>
      <c r="U668" s="6"/>
      <c r="V668" s="6"/>
      <c r="W668" s="6"/>
      <c r="X668" s="6"/>
      <c r="Y668" s="6" t="s">
        <v>954</v>
      </c>
    </row>
    <row r="669">
      <c r="S669" s="6"/>
      <c r="T669" s="6"/>
      <c r="U669" s="6"/>
      <c r="V669" s="6"/>
      <c r="W669" s="6"/>
      <c r="X669" s="6"/>
      <c r="Y669" s="6" t="s">
        <v>954</v>
      </c>
    </row>
    <row r="670">
      <c r="S670" s="6"/>
      <c r="T670" s="6"/>
      <c r="U670" s="6"/>
      <c r="V670" s="6"/>
      <c r="W670" s="6"/>
      <c r="X670" s="6"/>
      <c r="Y670" s="6" t="s">
        <v>954</v>
      </c>
    </row>
    <row r="671">
      <c r="S671" s="6"/>
      <c r="T671" s="6"/>
      <c r="U671" s="6"/>
      <c r="V671" s="6"/>
      <c r="W671" s="6"/>
      <c r="X671" s="6"/>
      <c r="Y671" s="6" t="s">
        <v>954</v>
      </c>
    </row>
    <row r="672">
      <c r="S672" s="6"/>
      <c r="T672" s="6"/>
      <c r="U672" s="6"/>
      <c r="V672" s="6"/>
      <c r="W672" s="6"/>
      <c r="X672" s="6"/>
      <c r="Y672" s="6" t="s">
        <v>954</v>
      </c>
    </row>
    <row r="673">
      <c r="S673" s="6"/>
      <c r="T673" s="6"/>
      <c r="U673" s="6"/>
      <c r="V673" s="6"/>
      <c r="W673" s="6"/>
      <c r="X673" s="6"/>
      <c r="Y673" s="6" t="s">
        <v>954</v>
      </c>
    </row>
    <row r="674">
      <c r="S674" s="6"/>
      <c r="T674" s="6"/>
      <c r="U674" s="6"/>
      <c r="V674" s="6"/>
      <c r="W674" s="6"/>
      <c r="X674" s="6"/>
      <c r="Y674" s="6" t="s">
        <v>954</v>
      </c>
    </row>
    <row r="675">
      <c r="S675" s="6"/>
      <c r="T675" s="6"/>
      <c r="U675" s="6"/>
      <c r="V675" s="6"/>
      <c r="W675" s="6"/>
      <c r="X675" s="6"/>
      <c r="Y675" s="6" t="s">
        <v>954</v>
      </c>
    </row>
    <row r="676">
      <c r="S676" s="6"/>
      <c r="T676" s="6"/>
      <c r="U676" s="6"/>
      <c r="V676" s="6"/>
      <c r="W676" s="6"/>
      <c r="X676" s="6"/>
      <c r="Y676" s="6" t="s">
        <v>954</v>
      </c>
    </row>
    <row r="677">
      <c r="S677" s="6"/>
      <c r="T677" s="6"/>
      <c r="U677" s="6"/>
      <c r="V677" s="6"/>
      <c r="W677" s="6"/>
      <c r="X677" s="6"/>
      <c r="Y677" s="6" t="s">
        <v>954</v>
      </c>
    </row>
    <row r="678">
      <c r="S678" s="6"/>
      <c r="T678" s="6"/>
      <c r="U678" s="6"/>
      <c r="V678" s="6"/>
      <c r="W678" s="6"/>
      <c r="X678" s="6"/>
      <c r="Y678" s="6" t="s">
        <v>954</v>
      </c>
    </row>
    <row r="679">
      <c r="S679" s="6"/>
      <c r="T679" s="6"/>
      <c r="U679" s="6"/>
      <c r="V679" s="6"/>
      <c r="W679" s="6"/>
      <c r="X679" s="6"/>
      <c r="Y679" s="6" t="s">
        <v>954</v>
      </c>
    </row>
    <row r="680">
      <c r="S680" s="6"/>
      <c r="T680" s="6"/>
      <c r="U680" s="6"/>
      <c r="V680" s="6"/>
      <c r="W680" s="6"/>
      <c r="X680" s="6"/>
      <c r="Y680" s="6" t="s">
        <v>954</v>
      </c>
    </row>
    <row r="681">
      <c r="S681" s="6"/>
      <c r="T681" s="6"/>
      <c r="U681" s="6"/>
      <c r="V681" s="6"/>
      <c r="W681" s="6"/>
      <c r="X681" s="6"/>
      <c r="Y681" s="6" t="s">
        <v>954</v>
      </c>
    </row>
    <row r="682">
      <c r="S682" s="6"/>
      <c r="T682" s="6"/>
      <c r="U682" s="6"/>
      <c r="V682" s="6"/>
      <c r="W682" s="6"/>
      <c r="X682" s="6"/>
      <c r="Y682" s="6" t="s">
        <v>954</v>
      </c>
    </row>
    <row r="683">
      <c r="S683" s="6"/>
      <c r="T683" s="6"/>
      <c r="U683" s="6"/>
      <c r="V683" s="6"/>
      <c r="W683" s="6"/>
      <c r="X683" s="6"/>
      <c r="Y683" s="6" t="s">
        <v>954</v>
      </c>
    </row>
    <row r="684">
      <c r="S684" s="6"/>
      <c r="T684" s="6"/>
      <c r="U684" s="6"/>
      <c r="V684" s="6"/>
      <c r="W684" s="6"/>
      <c r="X684" s="6"/>
      <c r="Y684" s="6" t="s">
        <v>954</v>
      </c>
    </row>
    <row r="685">
      <c r="S685" s="6"/>
      <c r="T685" s="6"/>
      <c r="U685" s="6"/>
      <c r="V685" s="6"/>
      <c r="W685" s="6"/>
      <c r="X685" s="6"/>
      <c r="Y685" s="6" t="s">
        <v>954</v>
      </c>
    </row>
    <row r="686">
      <c r="S686" s="6"/>
      <c r="T686" s="6"/>
      <c r="U686" s="6"/>
      <c r="V686" s="6"/>
      <c r="W686" s="6"/>
      <c r="X686" s="6"/>
      <c r="Y686" s="6" t="s">
        <v>954</v>
      </c>
    </row>
    <row r="687">
      <c r="S687" s="6"/>
      <c r="T687" s="6"/>
      <c r="U687" s="6"/>
      <c r="V687" s="6"/>
      <c r="W687" s="6"/>
      <c r="X687" s="6"/>
      <c r="Y687" s="6" t="s">
        <v>954</v>
      </c>
    </row>
    <row r="688">
      <c r="S688" s="6"/>
      <c r="T688" s="6"/>
      <c r="U688" s="6"/>
      <c r="V688" s="6"/>
      <c r="W688" s="6"/>
      <c r="X688" s="6"/>
      <c r="Y688" s="6" t="s">
        <v>954</v>
      </c>
    </row>
    <row r="689">
      <c r="S689" s="6"/>
      <c r="T689" s="6"/>
      <c r="U689" s="6"/>
      <c r="V689" s="6"/>
      <c r="W689" s="6"/>
      <c r="X689" s="6"/>
      <c r="Y689" s="6" t="s">
        <v>954</v>
      </c>
    </row>
    <row r="690">
      <c r="S690" s="6"/>
      <c r="T690" s="6"/>
      <c r="U690" s="6"/>
      <c r="V690" s="6"/>
      <c r="W690" s="6"/>
      <c r="X690" s="6"/>
      <c r="Y690" s="6" t="s">
        <v>954</v>
      </c>
    </row>
    <row r="691">
      <c r="S691" s="6"/>
      <c r="T691" s="6"/>
      <c r="U691" s="6"/>
      <c r="V691" s="6"/>
      <c r="W691" s="6"/>
      <c r="X691" s="6"/>
      <c r="Y691" s="6" t="s">
        <v>954</v>
      </c>
    </row>
    <row r="692">
      <c r="S692" s="6"/>
      <c r="T692" s="6"/>
      <c r="U692" s="6"/>
      <c r="V692" s="6"/>
      <c r="W692" s="6"/>
      <c r="X692" s="6"/>
      <c r="Y692" s="6" t="s">
        <v>954</v>
      </c>
    </row>
    <row r="693">
      <c r="S693" s="6"/>
      <c r="T693" s="6"/>
      <c r="U693" s="6"/>
      <c r="V693" s="6"/>
      <c r="W693" s="6"/>
      <c r="X693" s="6"/>
      <c r="Y693" s="6" t="s">
        <v>954</v>
      </c>
    </row>
    <row r="694">
      <c r="S694" s="6"/>
      <c r="T694" s="6"/>
      <c r="U694" s="6"/>
      <c r="V694" s="6"/>
      <c r="W694" s="6"/>
      <c r="X694" s="6"/>
      <c r="Y694" s="6" t="s">
        <v>954</v>
      </c>
    </row>
    <row r="695">
      <c r="S695" s="6"/>
      <c r="T695" s="6"/>
      <c r="U695" s="6"/>
      <c r="V695" s="6"/>
      <c r="W695" s="6"/>
      <c r="X695" s="6"/>
      <c r="Y695" s="6" t="s">
        <v>954</v>
      </c>
    </row>
    <row r="696">
      <c r="S696" s="6"/>
      <c r="T696" s="6"/>
      <c r="U696" s="6"/>
      <c r="V696" s="6"/>
      <c r="W696" s="6"/>
      <c r="X696" s="6"/>
      <c r="Y696" s="6" t="s">
        <v>954</v>
      </c>
    </row>
    <row r="697">
      <c r="S697" s="6"/>
      <c r="T697" s="6"/>
      <c r="U697" s="6"/>
      <c r="V697" s="6"/>
      <c r="W697" s="6"/>
      <c r="X697" s="6"/>
      <c r="Y697" s="6" t="s">
        <v>954</v>
      </c>
    </row>
    <row r="698">
      <c r="S698" s="6"/>
      <c r="T698" s="6"/>
      <c r="U698" s="6"/>
      <c r="V698" s="6"/>
      <c r="W698" s="6"/>
      <c r="X698" s="6"/>
      <c r="Y698" s="6" t="s">
        <v>954</v>
      </c>
    </row>
    <row r="699">
      <c r="S699" s="6"/>
      <c r="T699" s="6"/>
      <c r="U699" s="6"/>
      <c r="V699" s="6"/>
      <c r="W699" s="6"/>
      <c r="X699" s="6"/>
      <c r="Y699" s="6" t="s">
        <v>954</v>
      </c>
    </row>
    <row r="700">
      <c r="S700" s="6"/>
      <c r="T700" s="6"/>
      <c r="U700" s="6"/>
      <c r="V700" s="6"/>
      <c r="W700" s="6"/>
      <c r="X700" s="6"/>
      <c r="Y700" s="6" t="s">
        <v>954</v>
      </c>
    </row>
    <row r="701">
      <c r="S701" s="6"/>
      <c r="T701" s="6"/>
      <c r="U701" s="6"/>
      <c r="V701" s="6"/>
      <c r="W701" s="6"/>
      <c r="X701" s="6"/>
      <c r="Y701" s="6" t="s">
        <v>954</v>
      </c>
    </row>
    <row r="702">
      <c r="S702" s="6"/>
      <c r="T702" s="6"/>
      <c r="U702" s="6"/>
      <c r="V702" s="6"/>
      <c r="W702" s="6"/>
      <c r="X702" s="6"/>
      <c r="Y702" s="6" t="s">
        <v>954</v>
      </c>
    </row>
    <row r="703">
      <c r="S703" s="6"/>
      <c r="T703" s="6"/>
      <c r="U703" s="6"/>
      <c r="V703" s="6"/>
      <c r="W703" s="6"/>
      <c r="X703" s="6"/>
      <c r="Y703" s="6" t="s">
        <v>954</v>
      </c>
    </row>
    <row r="704">
      <c r="S704" s="6"/>
      <c r="T704" s="6"/>
      <c r="U704" s="6"/>
      <c r="V704" s="6"/>
      <c r="W704" s="6"/>
      <c r="X704" s="6"/>
      <c r="Y704" s="6" t="s">
        <v>954</v>
      </c>
    </row>
    <row r="705">
      <c r="S705" s="6"/>
      <c r="T705" s="6"/>
      <c r="U705" s="6"/>
      <c r="V705" s="6"/>
      <c r="W705" s="6"/>
      <c r="X705" s="6"/>
      <c r="Y705" s="6" t="s">
        <v>954</v>
      </c>
    </row>
    <row r="706">
      <c r="S706" s="6"/>
      <c r="T706" s="6"/>
      <c r="U706" s="6"/>
      <c r="V706" s="6"/>
      <c r="W706" s="6"/>
      <c r="X706" s="6"/>
      <c r="Y706" s="6" t="s">
        <v>954</v>
      </c>
    </row>
    <row r="707">
      <c r="S707" s="6"/>
      <c r="T707" s="6"/>
      <c r="U707" s="6"/>
      <c r="V707" s="6"/>
      <c r="W707" s="6"/>
      <c r="X707" s="6"/>
      <c r="Y707" s="6" t="s">
        <v>954</v>
      </c>
    </row>
    <row r="708">
      <c r="S708" s="6"/>
      <c r="T708" s="6"/>
      <c r="U708" s="6"/>
      <c r="V708" s="6"/>
      <c r="W708" s="6"/>
      <c r="X708" s="6"/>
      <c r="Y708" s="6" t="s">
        <v>954</v>
      </c>
    </row>
    <row r="709">
      <c r="S709" s="6"/>
      <c r="T709" s="6"/>
      <c r="U709" s="6"/>
      <c r="V709" s="6"/>
      <c r="W709" s="6"/>
      <c r="X709" s="6"/>
      <c r="Y709" s="6" t="s">
        <v>954</v>
      </c>
    </row>
    <row r="710">
      <c r="S710" s="6"/>
      <c r="T710" s="6"/>
      <c r="U710" s="6"/>
      <c r="V710" s="6"/>
      <c r="W710" s="6"/>
      <c r="X710" s="6"/>
      <c r="Y710" s="6" t="s">
        <v>954</v>
      </c>
    </row>
    <row r="711">
      <c r="S711" s="6"/>
      <c r="T711" s="6"/>
      <c r="U711" s="6"/>
      <c r="V711" s="6"/>
      <c r="W711" s="6"/>
      <c r="X711" s="6"/>
      <c r="Y711" s="6" t="s">
        <v>954</v>
      </c>
    </row>
    <row r="712">
      <c r="S712" s="6"/>
      <c r="T712" s="6"/>
      <c r="U712" s="6"/>
      <c r="V712" s="6"/>
      <c r="W712" s="6"/>
      <c r="X712" s="6"/>
      <c r="Y712" s="6" t="s">
        <v>954</v>
      </c>
    </row>
    <row r="713">
      <c r="S713" s="6"/>
      <c r="T713" s="6"/>
      <c r="U713" s="6"/>
      <c r="V713" s="6"/>
      <c r="W713" s="6"/>
      <c r="X713" s="6"/>
      <c r="Y713" s="6" t="s">
        <v>954</v>
      </c>
    </row>
    <row r="714">
      <c r="S714" s="6"/>
      <c r="T714" s="6"/>
      <c r="U714" s="6"/>
      <c r="V714" s="6"/>
      <c r="W714" s="6"/>
      <c r="X714" s="6"/>
      <c r="Y714" s="6" t="s">
        <v>954</v>
      </c>
    </row>
    <row r="715">
      <c r="S715" s="6"/>
      <c r="T715" s="6"/>
      <c r="U715" s="6"/>
      <c r="V715" s="6"/>
      <c r="W715" s="6"/>
      <c r="X715" s="6"/>
      <c r="Y715" s="6" t="s">
        <v>954</v>
      </c>
    </row>
    <row r="716">
      <c r="S716" s="6"/>
      <c r="T716" s="6"/>
      <c r="U716" s="6"/>
      <c r="V716" s="6"/>
      <c r="W716" s="6"/>
      <c r="X716" s="6"/>
      <c r="Y716" s="6" t="s">
        <v>954</v>
      </c>
    </row>
    <row r="717">
      <c r="S717" s="6"/>
      <c r="T717" s="6"/>
      <c r="U717" s="6"/>
      <c r="V717" s="6"/>
      <c r="W717" s="6"/>
      <c r="X717" s="6"/>
      <c r="Y717" s="6" t="s">
        <v>954</v>
      </c>
    </row>
    <row r="718">
      <c r="S718" s="6"/>
      <c r="T718" s="6"/>
      <c r="U718" s="6"/>
      <c r="V718" s="6"/>
      <c r="W718" s="6"/>
      <c r="X718" s="6"/>
      <c r="Y718" s="6" t="s">
        <v>954</v>
      </c>
    </row>
    <row r="719">
      <c r="S719" s="6"/>
      <c r="T719" s="6"/>
      <c r="U719" s="6"/>
      <c r="V719" s="6"/>
      <c r="W719" s="6"/>
      <c r="X719" s="6"/>
      <c r="Y719" s="6" t="s">
        <v>954</v>
      </c>
    </row>
    <row r="720">
      <c r="S720" s="6"/>
      <c r="T720" s="6"/>
      <c r="U720" s="6"/>
      <c r="V720" s="6"/>
      <c r="W720" s="6"/>
      <c r="X720" s="6"/>
      <c r="Y720" s="6" t="s">
        <v>954</v>
      </c>
    </row>
    <row r="721">
      <c r="S721" s="6"/>
      <c r="T721" s="6"/>
      <c r="U721" s="6"/>
      <c r="V721" s="6"/>
      <c r="W721" s="6"/>
      <c r="X721" s="6"/>
      <c r="Y721" s="6" t="s">
        <v>954</v>
      </c>
    </row>
    <row r="722">
      <c r="S722" s="6"/>
      <c r="T722" s="6"/>
      <c r="U722" s="6"/>
      <c r="V722" s="6"/>
      <c r="W722" s="6"/>
      <c r="X722" s="6"/>
      <c r="Y722" s="6" t="s">
        <v>954</v>
      </c>
    </row>
    <row r="723">
      <c r="S723" s="6"/>
      <c r="T723" s="6"/>
      <c r="U723" s="6"/>
      <c r="V723" s="6"/>
      <c r="W723" s="6"/>
      <c r="X723" s="6"/>
      <c r="Y723" s="6" t="s">
        <v>954</v>
      </c>
    </row>
    <row r="724">
      <c r="S724" s="6"/>
      <c r="T724" s="6"/>
      <c r="U724" s="6"/>
      <c r="V724" s="6"/>
      <c r="W724" s="6"/>
      <c r="X724" s="6"/>
      <c r="Y724" s="6" t="s">
        <v>954</v>
      </c>
    </row>
    <row r="725">
      <c r="S725" s="6"/>
      <c r="T725" s="6"/>
      <c r="U725" s="6"/>
      <c r="V725" s="6"/>
      <c r="W725" s="6"/>
      <c r="X725" s="6"/>
      <c r="Y725" s="6" t="s">
        <v>954</v>
      </c>
    </row>
    <row r="726">
      <c r="S726" s="6"/>
      <c r="T726" s="6"/>
      <c r="U726" s="6"/>
      <c r="V726" s="6"/>
      <c r="W726" s="6"/>
      <c r="X726" s="6"/>
      <c r="Y726" s="6" t="s">
        <v>954</v>
      </c>
    </row>
    <row r="727">
      <c r="S727" s="6"/>
      <c r="T727" s="6"/>
      <c r="U727" s="6"/>
      <c r="V727" s="6"/>
      <c r="W727" s="6"/>
      <c r="X727" s="6"/>
      <c r="Y727" s="6" t="s">
        <v>954</v>
      </c>
    </row>
    <row r="728">
      <c r="S728" s="6"/>
      <c r="T728" s="6"/>
      <c r="U728" s="6"/>
      <c r="V728" s="6"/>
      <c r="W728" s="6"/>
      <c r="X728" s="6"/>
      <c r="Y728" s="6" t="s">
        <v>954</v>
      </c>
    </row>
    <row r="729">
      <c r="S729" s="6"/>
      <c r="T729" s="6"/>
      <c r="U729" s="6"/>
      <c r="V729" s="6"/>
      <c r="W729" s="6"/>
      <c r="X729" s="6"/>
      <c r="Y729" s="6" t="s">
        <v>954</v>
      </c>
    </row>
    <row r="730">
      <c r="S730" s="6"/>
      <c r="T730" s="6"/>
      <c r="U730" s="6"/>
      <c r="V730" s="6"/>
      <c r="W730" s="6"/>
      <c r="X730" s="6"/>
      <c r="Y730" s="6" t="s">
        <v>954</v>
      </c>
    </row>
    <row r="731">
      <c r="S731" s="6"/>
      <c r="T731" s="6"/>
      <c r="U731" s="6"/>
      <c r="V731" s="6"/>
      <c r="W731" s="6"/>
      <c r="X731" s="6"/>
      <c r="Y731" s="6" t="s">
        <v>954</v>
      </c>
    </row>
    <row r="732">
      <c r="S732" s="6"/>
      <c r="T732" s="6"/>
      <c r="U732" s="6"/>
      <c r="V732" s="6"/>
      <c r="W732" s="6"/>
      <c r="X732" s="6"/>
      <c r="Y732" s="6" t="s">
        <v>954</v>
      </c>
    </row>
    <row r="733">
      <c r="S733" s="6"/>
      <c r="T733" s="6"/>
      <c r="U733" s="6"/>
      <c r="V733" s="6"/>
      <c r="W733" s="6"/>
      <c r="X733" s="6"/>
      <c r="Y733" s="6" t="s">
        <v>954</v>
      </c>
    </row>
    <row r="734">
      <c r="S734" s="6"/>
      <c r="T734" s="6"/>
      <c r="U734" s="6"/>
      <c r="V734" s="6"/>
      <c r="W734" s="6"/>
      <c r="X734" s="6"/>
      <c r="Y734" s="6" t="s">
        <v>954</v>
      </c>
    </row>
    <row r="735">
      <c r="S735" s="6"/>
      <c r="T735" s="6"/>
      <c r="U735" s="6"/>
      <c r="V735" s="6"/>
      <c r="W735" s="6"/>
      <c r="X735" s="6"/>
      <c r="Y735" s="6" t="s">
        <v>954</v>
      </c>
    </row>
    <row r="736">
      <c r="S736" s="6"/>
      <c r="T736" s="6"/>
      <c r="U736" s="6"/>
      <c r="V736" s="6"/>
      <c r="W736" s="6"/>
      <c r="X736" s="6"/>
      <c r="Y736" s="6" t="s">
        <v>954</v>
      </c>
    </row>
    <row r="737">
      <c r="S737" s="6"/>
      <c r="T737" s="6"/>
      <c r="U737" s="6"/>
      <c r="V737" s="6"/>
      <c r="W737" s="6"/>
      <c r="X737" s="6"/>
      <c r="Y737" s="6" t="s">
        <v>954</v>
      </c>
    </row>
    <row r="738">
      <c r="S738" s="6"/>
      <c r="T738" s="6"/>
      <c r="U738" s="6"/>
      <c r="V738" s="6"/>
      <c r="W738" s="6"/>
      <c r="X738" s="6"/>
      <c r="Y738" s="6" t="s">
        <v>954</v>
      </c>
    </row>
    <row r="739">
      <c r="S739" s="6"/>
      <c r="T739" s="6"/>
      <c r="U739" s="6"/>
      <c r="V739" s="6"/>
      <c r="W739" s="6"/>
      <c r="X739" s="6"/>
      <c r="Y739" s="6" t="s">
        <v>954</v>
      </c>
    </row>
    <row r="740">
      <c r="S740" s="6"/>
      <c r="T740" s="6"/>
      <c r="U740" s="6"/>
      <c r="V740" s="6"/>
      <c r="W740" s="6"/>
      <c r="X740" s="6"/>
      <c r="Y740" s="6" t="s">
        <v>954</v>
      </c>
    </row>
    <row r="741">
      <c r="S741" s="6"/>
      <c r="T741" s="6"/>
      <c r="U741" s="6"/>
      <c r="V741" s="6"/>
      <c r="W741" s="6"/>
      <c r="X741" s="6"/>
      <c r="Y741" s="6" t="s">
        <v>954</v>
      </c>
    </row>
    <row r="742">
      <c r="S742" s="6"/>
      <c r="T742" s="6"/>
      <c r="U742" s="6"/>
      <c r="V742" s="6"/>
      <c r="W742" s="6"/>
      <c r="X742" s="6"/>
      <c r="Y742" s="6" t="s">
        <v>954</v>
      </c>
    </row>
    <row r="743">
      <c r="S743" s="6"/>
      <c r="T743" s="6"/>
      <c r="U743" s="6"/>
      <c r="V743" s="6"/>
      <c r="W743" s="6"/>
      <c r="X743" s="6"/>
      <c r="Y743" s="6" t="s">
        <v>954</v>
      </c>
    </row>
    <row r="744">
      <c r="S744" s="6"/>
      <c r="T744" s="6"/>
      <c r="U744" s="6"/>
      <c r="V744" s="6"/>
      <c r="W744" s="6"/>
      <c r="X744" s="6"/>
      <c r="Y744" s="6" t="s">
        <v>954</v>
      </c>
    </row>
    <row r="745">
      <c r="S745" s="6"/>
      <c r="T745" s="6"/>
      <c r="U745" s="6"/>
      <c r="V745" s="6"/>
      <c r="W745" s="6"/>
      <c r="X745" s="6"/>
      <c r="Y745" s="6" t="s">
        <v>954</v>
      </c>
    </row>
    <row r="746">
      <c r="S746" s="6"/>
      <c r="T746" s="6"/>
      <c r="U746" s="6"/>
      <c r="V746" s="6"/>
      <c r="W746" s="6"/>
      <c r="X746" s="6"/>
      <c r="Y746" s="6" t="s">
        <v>954</v>
      </c>
    </row>
    <row r="747">
      <c r="S747" s="6"/>
      <c r="T747" s="6"/>
      <c r="U747" s="6"/>
      <c r="V747" s="6"/>
      <c r="W747" s="6"/>
      <c r="X747" s="6"/>
      <c r="Y747" s="6" t="s">
        <v>954</v>
      </c>
    </row>
    <row r="748">
      <c r="S748" s="6"/>
      <c r="T748" s="6"/>
      <c r="U748" s="6"/>
      <c r="V748" s="6"/>
      <c r="W748" s="6"/>
      <c r="X748" s="6"/>
      <c r="Y748" s="6" t="s">
        <v>954</v>
      </c>
    </row>
    <row r="749">
      <c r="S749" s="6"/>
      <c r="T749" s="6"/>
      <c r="U749" s="6"/>
      <c r="V749" s="6"/>
      <c r="W749" s="6"/>
      <c r="X749" s="6"/>
      <c r="Y749" s="6" t="s">
        <v>954</v>
      </c>
    </row>
    <row r="750">
      <c r="S750" s="6"/>
      <c r="T750" s="6"/>
      <c r="U750" s="6"/>
      <c r="V750" s="6"/>
      <c r="W750" s="6"/>
      <c r="X750" s="6"/>
      <c r="Y750" s="6" t="s">
        <v>954</v>
      </c>
    </row>
    <row r="751">
      <c r="S751" s="6"/>
      <c r="T751" s="6"/>
      <c r="U751" s="6"/>
      <c r="V751" s="6"/>
      <c r="W751" s="6"/>
      <c r="X751" s="6"/>
      <c r="Y751" s="6" t="s">
        <v>954</v>
      </c>
    </row>
    <row r="752">
      <c r="S752" s="6"/>
      <c r="T752" s="6"/>
      <c r="U752" s="6"/>
      <c r="V752" s="6"/>
      <c r="W752" s="6"/>
      <c r="X752" s="6"/>
      <c r="Y752" s="6" t="s">
        <v>954</v>
      </c>
    </row>
    <row r="753">
      <c r="S753" s="6"/>
      <c r="T753" s="6"/>
      <c r="U753" s="6"/>
      <c r="V753" s="6"/>
      <c r="W753" s="6"/>
      <c r="X753" s="6"/>
      <c r="Y753" s="6" t="s">
        <v>954</v>
      </c>
    </row>
    <row r="754">
      <c r="S754" s="6"/>
      <c r="T754" s="6"/>
      <c r="U754" s="6"/>
      <c r="V754" s="6"/>
      <c r="W754" s="6"/>
      <c r="X754" s="6"/>
      <c r="Y754" s="6" t="s">
        <v>954</v>
      </c>
    </row>
    <row r="755">
      <c r="S755" s="6"/>
      <c r="T755" s="6"/>
      <c r="U755" s="6"/>
      <c r="V755" s="6"/>
      <c r="W755" s="6"/>
      <c r="X755" s="6"/>
      <c r="Y755" s="6" t="s">
        <v>954</v>
      </c>
    </row>
    <row r="756">
      <c r="S756" s="6"/>
      <c r="T756" s="6"/>
      <c r="U756" s="6"/>
      <c r="V756" s="6"/>
      <c r="W756" s="6"/>
      <c r="X756" s="6"/>
      <c r="Y756" s="6" t="s">
        <v>954</v>
      </c>
    </row>
    <row r="757">
      <c r="S757" s="6"/>
      <c r="T757" s="6"/>
      <c r="U757" s="6"/>
      <c r="V757" s="6"/>
      <c r="W757" s="6"/>
      <c r="X757" s="6"/>
      <c r="Y757" s="6" t="s">
        <v>954</v>
      </c>
    </row>
    <row r="758">
      <c r="S758" s="6"/>
      <c r="T758" s="6"/>
      <c r="U758" s="6"/>
      <c r="V758" s="6"/>
      <c r="W758" s="6"/>
      <c r="X758" s="6"/>
      <c r="Y758" s="6" t="s">
        <v>954</v>
      </c>
    </row>
    <row r="759">
      <c r="S759" s="6"/>
      <c r="T759" s="6"/>
      <c r="U759" s="6"/>
      <c r="V759" s="6"/>
      <c r="W759" s="6"/>
      <c r="X759" s="6"/>
      <c r="Y759" s="6" t="s">
        <v>954</v>
      </c>
    </row>
    <row r="760">
      <c r="S760" s="6"/>
      <c r="T760" s="6"/>
      <c r="U760" s="6"/>
      <c r="V760" s="6"/>
      <c r="W760" s="6"/>
      <c r="X760" s="6"/>
      <c r="Y760" s="6" t="s">
        <v>954</v>
      </c>
    </row>
    <row r="761">
      <c r="S761" s="6"/>
      <c r="T761" s="6"/>
      <c r="U761" s="6"/>
      <c r="V761" s="6"/>
      <c r="W761" s="6"/>
      <c r="X761" s="6"/>
      <c r="Y761" s="6" t="s">
        <v>954</v>
      </c>
    </row>
    <row r="762">
      <c r="S762" s="6"/>
      <c r="T762" s="6"/>
      <c r="U762" s="6"/>
      <c r="V762" s="6"/>
      <c r="W762" s="6"/>
      <c r="X762" s="6"/>
      <c r="Y762" s="6" t="s">
        <v>954</v>
      </c>
    </row>
    <row r="763">
      <c r="S763" s="6"/>
      <c r="T763" s="6"/>
      <c r="U763" s="6"/>
      <c r="V763" s="6"/>
      <c r="W763" s="6"/>
      <c r="X763" s="6"/>
      <c r="Y763" s="6" t="s">
        <v>954</v>
      </c>
    </row>
    <row r="764">
      <c r="S764" s="6"/>
      <c r="T764" s="6"/>
      <c r="U764" s="6"/>
      <c r="V764" s="6"/>
      <c r="W764" s="6"/>
      <c r="X764" s="6"/>
      <c r="Y764" s="6" t="s">
        <v>954</v>
      </c>
    </row>
    <row r="765">
      <c r="S765" s="6"/>
      <c r="T765" s="6"/>
      <c r="U765" s="6"/>
      <c r="V765" s="6"/>
      <c r="W765" s="6"/>
      <c r="X765" s="6"/>
      <c r="Y765" s="6" t="s">
        <v>954</v>
      </c>
    </row>
    <row r="766">
      <c r="S766" s="6"/>
      <c r="T766" s="6"/>
      <c r="U766" s="6"/>
      <c r="V766" s="6"/>
      <c r="W766" s="6"/>
      <c r="X766" s="6"/>
      <c r="Y766" s="6" t="s">
        <v>954</v>
      </c>
    </row>
    <row r="767">
      <c r="S767" s="6"/>
      <c r="T767" s="6"/>
      <c r="U767" s="6"/>
      <c r="V767" s="6"/>
      <c r="W767" s="6"/>
      <c r="X767" s="6"/>
      <c r="Y767" s="6" t="s">
        <v>954</v>
      </c>
    </row>
    <row r="768">
      <c r="S768" s="6"/>
      <c r="T768" s="6"/>
      <c r="U768" s="6"/>
      <c r="V768" s="6"/>
      <c r="W768" s="6"/>
      <c r="X768" s="6"/>
      <c r="Y768" s="6" t="s">
        <v>954</v>
      </c>
    </row>
    <row r="769">
      <c r="S769" s="6"/>
      <c r="T769" s="6"/>
      <c r="U769" s="6"/>
      <c r="V769" s="6"/>
      <c r="W769" s="6"/>
      <c r="X769" s="6"/>
      <c r="Y769" s="6" t="s">
        <v>954</v>
      </c>
    </row>
    <row r="770">
      <c r="S770" s="6"/>
      <c r="T770" s="6"/>
      <c r="U770" s="6"/>
      <c r="V770" s="6"/>
      <c r="W770" s="6"/>
      <c r="X770" s="6"/>
      <c r="Y770" s="6" t="s">
        <v>954</v>
      </c>
    </row>
    <row r="771">
      <c r="S771" s="6"/>
      <c r="T771" s="6"/>
      <c r="U771" s="6"/>
      <c r="V771" s="6"/>
      <c r="W771" s="6"/>
      <c r="X771" s="6"/>
      <c r="Y771" s="6" t="s">
        <v>954</v>
      </c>
    </row>
    <row r="772">
      <c r="S772" s="6"/>
      <c r="T772" s="6"/>
      <c r="U772" s="6"/>
      <c r="V772" s="6"/>
      <c r="W772" s="6"/>
      <c r="X772" s="6"/>
      <c r="Y772" s="6" t="s">
        <v>954</v>
      </c>
    </row>
    <row r="773">
      <c r="S773" s="6"/>
      <c r="T773" s="6"/>
      <c r="U773" s="6"/>
      <c r="V773" s="6"/>
      <c r="W773" s="6"/>
      <c r="X773" s="6"/>
      <c r="Y773" s="6" t="s">
        <v>954</v>
      </c>
    </row>
    <row r="774">
      <c r="S774" s="6"/>
      <c r="T774" s="6"/>
      <c r="U774" s="6"/>
      <c r="V774" s="6"/>
      <c r="W774" s="6"/>
      <c r="X774" s="6"/>
      <c r="Y774" s="6" t="s">
        <v>954</v>
      </c>
    </row>
    <row r="775">
      <c r="S775" s="6"/>
      <c r="T775" s="6"/>
      <c r="U775" s="6"/>
      <c r="V775" s="6"/>
      <c r="W775" s="6"/>
      <c r="X775" s="6"/>
      <c r="Y775" s="6" t="s">
        <v>954</v>
      </c>
    </row>
    <row r="776">
      <c r="S776" s="6"/>
      <c r="T776" s="6"/>
      <c r="U776" s="6"/>
      <c r="V776" s="6"/>
      <c r="W776" s="6"/>
      <c r="X776" s="6"/>
      <c r="Y776" s="6" t="s">
        <v>954</v>
      </c>
    </row>
    <row r="777">
      <c r="S777" s="6"/>
      <c r="T777" s="6"/>
      <c r="U777" s="6"/>
      <c r="V777" s="6"/>
      <c r="W777" s="6"/>
      <c r="X777" s="6"/>
      <c r="Y777" s="6" t="s">
        <v>954</v>
      </c>
    </row>
    <row r="778">
      <c r="S778" s="6"/>
      <c r="T778" s="6"/>
      <c r="U778" s="6"/>
      <c r="V778" s="6"/>
      <c r="W778" s="6"/>
      <c r="X778" s="6"/>
      <c r="Y778" s="6" t="s">
        <v>954</v>
      </c>
    </row>
    <row r="779">
      <c r="S779" s="6"/>
      <c r="T779" s="6"/>
      <c r="U779" s="6"/>
      <c r="V779" s="6"/>
      <c r="W779" s="6"/>
      <c r="X779" s="6"/>
      <c r="Y779" s="6" t="s">
        <v>954</v>
      </c>
    </row>
    <row r="780">
      <c r="S780" s="6"/>
      <c r="T780" s="6"/>
      <c r="U780" s="6"/>
      <c r="V780" s="6"/>
      <c r="W780" s="6"/>
      <c r="X780" s="6"/>
      <c r="Y780" s="6" t="s">
        <v>954</v>
      </c>
    </row>
    <row r="781">
      <c r="S781" s="6"/>
      <c r="T781" s="6"/>
      <c r="U781" s="6"/>
      <c r="V781" s="6"/>
      <c r="W781" s="6"/>
      <c r="X781" s="6"/>
      <c r="Y781" s="6" t="s">
        <v>954</v>
      </c>
    </row>
    <row r="782">
      <c r="S782" s="6"/>
      <c r="T782" s="6"/>
      <c r="U782" s="6"/>
      <c r="V782" s="6"/>
      <c r="W782" s="6"/>
      <c r="X782" s="6"/>
      <c r="Y782" s="6" t="s">
        <v>954</v>
      </c>
    </row>
    <row r="783">
      <c r="S783" s="6"/>
      <c r="T783" s="6"/>
      <c r="U783" s="6"/>
      <c r="V783" s="6"/>
      <c r="W783" s="6"/>
      <c r="X783" s="6"/>
      <c r="Y783" s="6" t="s">
        <v>954</v>
      </c>
    </row>
    <row r="784">
      <c r="S784" s="6"/>
      <c r="T784" s="6"/>
      <c r="U784" s="6"/>
      <c r="V784" s="6"/>
      <c r="W784" s="6"/>
      <c r="X784" s="6"/>
      <c r="Y784" s="6" t="s">
        <v>954</v>
      </c>
    </row>
    <row r="785">
      <c r="S785" s="6"/>
      <c r="T785" s="6"/>
      <c r="U785" s="6"/>
      <c r="V785" s="6"/>
      <c r="W785" s="6"/>
      <c r="X785" s="6"/>
      <c r="Y785" s="6" t="s">
        <v>954</v>
      </c>
    </row>
    <row r="786">
      <c r="S786" s="6"/>
      <c r="T786" s="6"/>
      <c r="U786" s="6"/>
      <c r="V786" s="6"/>
      <c r="W786" s="6"/>
      <c r="X786" s="6"/>
      <c r="Y786" s="6" t="s">
        <v>954</v>
      </c>
    </row>
    <row r="787">
      <c r="S787" s="6"/>
      <c r="T787" s="6"/>
      <c r="U787" s="6"/>
      <c r="V787" s="6"/>
      <c r="W787" s="6"/>
      <c r="X787" s="6"/>
      <c r="Y787" s="6" t="s">
        <v>954</v>
      </c>
    </row>
    <row r="788">
      <c r="S788" s="6"/>
      <c r="T788" s="6"/>
      <c r="U788" s="6"/>
      <c r="V788" s="6"/>
      <c r="W788" s="6"/>
      <c r="X788" s="6"/>
      <c r="Y788" s="6" t="s">
        <v>954</v>
      </c>
    </row>
    <row r="789">
      <c r="S789" s="6"/>
      <c r="T789" s="6"/>
      <c r="U789" s="6"/>
      <c r="V789" s="6"/>
      <c r="W789" s="6"/>
      <c r="X789" s="6"/>
      <c r="Y789" s="6" t="s">
        <v>954</v>
      </c>
    </row>
    <row r="790">
      <c r="S790" s="6"/>
      <c r="T790" s="6"/>
      <c r="U790" s="6"/>
      <c r="V790" s="6"/>
      <c r="W790" s="6"/>
      <c r="X790" s="6"/>
      <c r="Y790" s="6" t="s">
        <v>954</v>
      </c>
    </row>
    <row r="791">
      <c r="S791" s="6"/>
      <c r="T791" s="6"/>
      <c r="U791" s="6"/>
      <c r="V791" s="6"/>
      <c r="W791" s="6"/>
      <c r="X791" s="6"/>
      <c r="Y791" s="6" t="s">
        <v>954</v>
      </c>
    </row>
    <row r="792">
      <c r="S792" s="6"/>
      <c r="T792" s="6"/>
      <c r="U792" s="6"/>
      <c r="V792" s="6"/>
      <c r="W792" s="6"/>
      <c r="X792" s="6"/>
      <c r="Y792" s="6" t="s">
        <v>954</v>
      </c>
    </row>
    <row r="793">
      <c r="S793" s="6"/>
      <c r="T793" s="6"/>
      <c r="U793" s="6"/>
      <c r="V793" s="6"/>
      <c r="W793" s="6"/>
      <c r="X793" s="6"/>
      <c r="Y793" s="6" t="s">
        <v>954</v>
      </c>
    </row>
    <row r="794">
      <c r="S794" s="6"/>
      <c r="T794" s="6"/>
      <c r="U794" s="6"/>
      <c r="V794" s="6"/>
      <c r="W794" s="6"/>
      <c r="X794" s="6"/>
      <c r="Y794" s="6" t="s">
        <v>954</v>
      </c>
    </row>
    <row r="795">
      <c r="S795" s="6"/>
      <c r="T795" s="6"/>
      <c r="U795" s="6"/>
      <c r="V795" s="6"/>
      <c r="W795" s="6"/>
      <c r="X795" s="6"/>
      <c r="Y795" s="6" t="s">
        <v>954</v>
      </c>
    </row>
    <row r="796">
      <c r="S796" s="6"/>
      <c r="T796" s="6"/>
      <c r="U796" s="6"/>
      <c r="V796" s="6"/>
      <c r="W796" s="6"/>
      <c r="X796" s="6"/>
      <c r="Y796" s="6" t="s">
        <v>954</v>
      </c>
    </row>
    <row r="797">
      <c r="S797" s="6"/>
      <c r="T797" s="6"/>
      <c r="U797" s="6"/>
      <c r="V797" s="6"/>
      <c r="W797" s="6"/>
      <c r="X797" s="6"/>
      <c r="Y797" s="6" t="s">
        <v>954</v>
      </c>
    </row>
    <row r="798">
      <c r="S798" s="6"/>
      <c r="T798" s="6"/>
      <c r="U798" s="6"/>
      <c r="V798" s="6"/>
      <c r="W798" s="6"/>
      <c r="X798" s="6"/>
      <c r="Y798" s="6" t="s">
        <v>954</v>
      </c>
    </row>
    <row r="799">
      <c r="S799" s="6"/>
      <c r="T799" s="6"/>
      <c r="U799" s="6"/>
      <c r="V799" s="6"/>
      <c r="W799" s="6"/>
      <c r="X799" s="6"/>
      <c r="Y799" s="6" t="s">
        <v>954</v>
      </c>
    </row>
    <row r="800">
      <c r="S800" s="6"/>
      <c r="T800" s="6"/>
      <c r="U800" s="6"/>
      <c r="V800" s="6"/>
      <c r="W800" s="6"/>
      <c r="X800" s="6"/>
      <c r="Y800" s="6" t="s">
        <v>954</v>
      </c>
    </row>
    <row r="801">
      <c r="S801" s="6"/>
      <c r="T801" s="6"/>
      <c r="U801" s="6"/>
      <c r="V801" s="6"/>
      <c r="W801" s="6"/>
      <c r="X801" s="6"/>
      <c r="Y801" s="6" t="s">
        <v>954</v>
      </c>
    </row>
    <row r="802">
      <c r="S802" s="6"/>
      <c r="T802" s="6"/>
      <c r="U802" s="6"/>
      <c r="V802" s="6"/>
      <c r="W802" s="6"/>
      <c r="X802" s="6"/>
      <c r="Y802" s="6" t="s">
        <v>954</v>
      </c>
    </row>
    <row r="803">
      <c r="S803" s="6"/>
      <c r="T803" s="6"/>
      <c r="U803" s="6"/>
      <c r="V803" s="6"/>
      <c r="W803" s="6"/>
      <c r="X803" s="6"/>
      <c r="Y803" s="6" t="s">
        <v>954</v>
      </c>
    </row>
    <row r="804">
      <c r="S804" s="6"/>
      <c r="T804" s="6"/>
      <c r="U804" s="6"/>
      <c r="V804" s="6"/>
      <c r="W804" s="6"/>
      <c r="X804" s="6"/>
      <c r="Y804" s="6" t="s">
        <v>954</v>
      </c>
    </row>
    <row r="805">
      <c r="S805" s="6"/>
      <c r="T805" s="6"/>
      <c r="U805" s="6"/>
      <c r="V805" s="6"/>
      <c r="W805" s="6"/>
      <c r="X805" s="6"/>
      <c r="Y805" s="6" t="s">
        <v>954</v>
      </c>
    </row>
    <row r="806">
      <c r="S806" s="6"/>
      <c r="T806" s="6"/>
      <c r="U806" s="6"/>
      <c r="V806" s="6"/>
      <c r="W806" s="6"/>
      <c r="X806" s="6"/>
      <c r="Y806" s="6" t="s">
        <v>954</v>
      </c>
    </row>
    <row r="807">
      <c r="S807" s="6"/>
      <c r="T807" s="6"/>
      <c r="U807" s="6"/>
      <c r="V807" s="6"/>
      <c r="W807" s="6"/>
      <c r="X807" s="6"/>
      <c r="Y807" s="6" t="s">
        <v>954</v>
      </c>
    </row>
    <row r="808">
      <c r="S808" s="6"/>
      <c r="T808" s="6"/>
      <c r="U808" s="6"/>
      <c r="V808" s="6"/>
      <c r="W808" s="6"/>
      <c r="X808" s="6"/>
      <c r="Y808" s="6" t="s">
        <v>954</v>
      </c>
    </row>
    <row r="809">
      <c r="S809" s="6"/>
      <c r="T809" s="6"/>
      <c r="U809" s="6"/>
      <c r="V809" s="6"/>
      <c r="W809" s="6"/>
      <c r="X809" s="6"/>
      <c r="Y809" s="6" t="s">
        <v>954</v>
      </c>
    </row>
    <row r="810">
      <c r="S810" s="6"/>
      <c r="T810" s="6"/>
      <c r="U810" s="6"/>
      <c r="V810" s="6"/>
      <c r="W810" s="6"/>
      <c r="X810" s="6"/>
      <c r="Y810" s="6" t="s">
        <v>954</v>
      </c>
    </row>
    <row r="811">
      <c r="S811" s="6"/>
      <c r="T811" s="6"/>
      <c r="U811" s="6"/>
      <c r="V811" s="6"/>
      <c r="W811" s="6"/>
      <c r="X811" s="6"/>
      <c r="Y811" s="6" t="s">
        <v>954</v>
      </c>
    </row>
    <row r="812">
      <c r="S812" s="6"/>
      <c r="T812" s="6"/>
      <c r="U812" s="6"/>
      <c r="V812" s="6"/>
      <c r="W812" s="6"/>
      <c r="X812" s="6"/>
      <c r="Y812" s="6" t="s">
        <v>954</v>
      </c>
    </row>
    <row r="813">
      <c r="S813" s="6"/>
      <c r="T813" s="6"/>
      <c r="U813" s="6"/>
      <c r="V813" s="6"/>
      <c r="W813" s="6"/>
      <c r="X813" s="6"/>
      <c r="Y813" s="6" t="s">
        <v>954</v>
      </c>
    </row>
    <row r="814">
      <c r="S814" s="6"/>
      <c r="T814" s="6"/>
      <c r="U814" s="6"/>
      <c r="V814" s="6"/>
      <c r="W814" s="6"/>
      <c r="X814" s="6"/>
      <c r="Y814" s="6" t="s">
        <v>954</v>
      </c>
    </row>
    <row r="815">
      <c r="S815" s="6"/>
      <c r="T815" s="6"/>
      <c r="U815" s="6"/>
      <c r="V815" s="6"/>
      <c r="W815" s="6"/>
      <c r="X815" s="6"/>
      <c r="Y815" s="6" t="s">
        <v>954</v>
      </c>
    </row>
    <row r="816">
      <c r="S816" s="6"/>
      <c r="T816" s="6"/>
      <c r="U816" s="6"/>
      <c r="V816" s="6"/>
      <c r="W816" s="6"/>
      <c r="X816" s="6"/>
      <c r="Y816" s="6" t="s">
        <v>954</v>
      </c>
    </row>
    <row r="817">
      <c r="S817" s="6"/>
      <c r="T817" s="6"/>
      <c r="U817" s="6"/>
      <c r="V817" s="6"/>
      <c r="W817" s="6"/>
      <c r="X817" s="6"/>
      <c r="Y817" s="6" t="s">
        <v>954</v>
      </c>
    </row>
    <row r="818">
      <c r="S818" s="6"/>
      <c r="T818" s="6"/>
      <c r="U818" s="6"/>
      <c r="V818" s="6"/>
      <c r="W818" s="6"/>
      <c r="X818" s="6"/>
      <c r="Y818" s="6" t="s">
        <v>954</v>
      </c>
    </row>
    <row r="819">
      <c r="S819" s="6"/>
      <c r="T819" s="6"/>
      <c r="U819" s="6"/>
      <c r="V819" s="6"/>
      <c r="W819" s="6"/>
      <c r="X819" s="6"/>
      <c r="Y819" s="6" t="s">
        <v>954</v>
      </c>
    </row>
    <row r="820">
      <c r="S820" s="6"/>
      <c r="T820" s="6"/>
      <c r="U820" s="6"/>
      <c r="V820" s="6"/>
      <c r="W820" s="6"/>
      <c r="X820" s="6"/>
      <c r="Y820" s="6" t="s">
        <v>954</v>
      </c>
    </row>
    <row r="821">
      <c r="S821" s="6"/>
      <c r="T821" s="6"/>
      <c r="U821" s="6"/>
      <c r="V821" s="6"/>
      <c r="W821" s="6"/>
      <c r="X821" s="6"/>
      <c r="Y821" s="6" t="s">
        <v>954</v>
      </c>
    </row>
    <row r="822">
      <c r="S822" s="6"/>
      <c r="T822" s="6"/>
      <c r="U822" s="6"/>
      <c r="V822" s="6"/>
      <c r="W822" s="6"/>
      <c r="X822" s="6"/>
      <c r="Y822" s="6" t="s">
        <v>954</v>
      </c>
    </row>
    <row r="823">
      <c r="S823" s="6"/>
      <c r="T823" s="6"/>
      <c r="U823" s="6"/>
      <c r="V823" s="6"/>
      <c r="W823" s="6"/>
      <c r="X823" s="6"/>
      <c r="Y823" s="6" t="s">
        <v>954</v>
      </c>
    </row>
    <row r="824">
      <c r="S824" s="6"/>
      <c r="T824" s="6"/>
      <c r="U824" s="6"/>
      <c r="V824" s="6"/>
      <c r="W824" s="6"/>
      <c r="X824" s="6"/>
      <c r="Y824" s="6" t="s">
        <v>954</v>
      </c>
    </row>
    <row r="825">
      <c r="S825" s="6"/>
      <c r="T825" s="6"/>
      <c r="U825" s="6"/>
      <c r="V825" s="6"/>
      <c r="W825" s="6"/>
      <c r="X825" s="6"/>
      <c r="Y825" s="6" t="s">
        <v>954</v>
      </c>
    </row>
    <row r="826">
      <c r="S826" s="6"/>
      <c r="T826" s="6"/>
      <c r="U826" s="6"/>
      <c r="V826" s="6"/>
      <c r="W826" s="6"/>
      <c r="X826" s="6"/>
      <c r="Y826" s="6" t="s">
        <v>954</v>
      </c>
    </row>
    <row r="827">
      <c r="S827" s="6"/>
      <c r="T827" s="6"/>
      <c r="U827" s="6"/>
      <c r="V827" s="6"/>
      <c r="W827" s="6"/>
      <c r="X827" s="6"/>
      <c r="Y827" s="6" t="s">
        <v>954</v>
      </c>
    </row>
    <row r="828">
      <c r="S828" s="6"/>
      <c r="T828" s="6"/>
      <c r="U828" s="6"/>
      <c r="V828" s="6"/>
      <c r="W828" s="6"/>
      <c r="X828" s="6"/>
      <c r="Y828" s="6" t="s">
        <v>954</v>
      </c>
    </row>
    <row r="829">
      <c r="S829" s="6"/>
      <c r="T829" s="6"/>
      <c r="U829" s="6"/>
      <c r="V829" s="6"/>
      <c r="W829" s="6"/>
      <c r="X829" s="6"/>
      <c r="Y829" s="6" t="s">
        <v>954</v>
      </c>
    </row>
    <row r="830">
      <c r="S830" s="6"/>
      <c r="T830" s="6"/>
      <c r="U830" s="6"/>
      <c r="V830" s="6"/>
      <c r="W830" s="6"/>
      <c r="X830" s="6"/>
      <c r="Y830" s="6" t="s">
        <v>954</v>
      </c>
    </row>
    <row r="831">
      <c r="S831" s="6"/>
      <c r="T831" s="6"/>
      <c r="U831" s="6"/>
      <c r="V831" s="6"/>
      <c r="W831" s="6"/>
      <c r="X831" s="6"/>
      <c r="Y831" s="6" t="s">
        <v>954</v>
      </c>
    </row>
    <row r="832">
      <c r="S832" s="6"/>
      <c r="T832" s="6"/>
      <c r="U832" s="6"/>
      <c r="V832" s="6"/>
      <c r="W832" s="6"/>
      <c r="X832" s="6"/>
      <c r="Y832" s="6" t="s">
        <v>954</v>
      </c>
    </row>
    <row r="833">
      <c r="S833" s="6"/>
      <c r="T833" s="6"/>
      <c r="U833" s="6"/>
      <c r="V833" s="6"/>
      <c r="W833" s="6"/>
      <c r="X833" s="6"/>
      <c r="Y833" s="6" t="s">
        <v>954</v>
      </c>
    </row>
    <row r="834">
      <c r="S834" s="6"/>
      <c r="T834" s="6"/>
      <c r="U834" s="6"/>
      <c r="V834" s="6"/>
      <c r="W834" s="6"/>
      <c r="X834" s="6"/>
      <c r="Y834" s="6" t="s">
        <v>954</v>
      </c>
    </row>
    <row r="835">
      <c r="S835" s="6"/>
      <c r="T835" s="6"/>
      <c r="U835" s="6"/>
      <c r="V835" s="6"/>
      <c r="W835" s="6"/>
      <c r="X835" s="6"/>
      <c r="Y835" s="6" t="s">
        <v>954</v>
      </c>
    </row>
    <row r="836">
      <c r="S836" s="6"/>
      <c r="T836" s="6"/>
      <c r="U836" s="6"/>
      <c r="V836" s="6"/>
      <c r="W836" s="6"/>
      <c r="X836" s="6"/>
      <c r="Y836" s="6" t="s">
        <v>954</v>
      </c>
    </row>
    <row r="837">
      <c r="S837" s="6"/>
      <c r="T837" s="6"/>
      <c r="U837" s="6"/>
      <c r="V837" s="6"/>
      <c r="W837" s="6"/>
      <c r="X837" s="6"/>
      <c r="Y837" s="6" t="s">
        <v>954</v>
      </c>
    </row>
    <row r="838">
      <c r="S838" s="6"/>
      <c r="T838" s="6"/>
      <c r="U838" s="6"/>
      <c r="V838" s="6"/>
      <c r="W838" s="6"/>
      <c r="X838" s="6"/>
      <c r="Y838" s="6" t="s">
        <v>954</v>
      </c>
    </row>
    <row r="839">
      <c r="S839" s="6"/>
      <c r="T839" s="6"/>
      <c r="U839" s="6"/>
      <c r="V839" s="6"/>
      <c r="W839" s="6"/>
      <c r="X839" s="6"/>
      <c r="Y839" s="6" t="s">
        <v>954</v>
      </c>
    </row>
    <row r="840">
      <c r="S840" s="6"/>
      <c r="T840" s="6"/>
      <c r="U840" s="6"/>
      <c r="V840" s="6"/>
      <c r="W840" s="6"/>
      <c r="X840" s="6"/>
      <c r="Y840" s="6" t="s">
        <v>954</v>
      </c>
    </row>
    <row r="841">
      <c r="S841" s="6"/>
      <c r="T841" s="6"/>
      <c r="U841" s="6"/>
      <c r="V841" s="6"/>
      <c r="W841" s="6"/>
      <c r="X841" s="6"/>
      <c r="Y841" s="6" t="s">
        <v>954</v>
      </c>
    </row>
    <row r="842">
      <c r="S842" s="6"/>
      <c r="T842" s="6"/>
      <c r="U842" s="6"/>
      <c r="V842" s="6"/>
      <c r="W842" s="6"/>
      <c r="X842" s="6"/>
      <c r="Y842" s="6" t="s">
        <v>954</v>
      </c>
    </row>
    <row r="843">
      <c r="S843" s="6"/>
      <c r="T843" s="6"/>
      <c r="U843" s="6"/>
      <c r="V843" s="6"/>
      <c r="W843" s="6"/>
      <c r="X843" s="6"/>
      <c r="Y843" s="6" t="s">
        <v>954</v>
      </c>
    </row>
    <row r="844">
      <c r="S844" s="6"/>
      <c r="T844" s="6"/>
      <c r="U844" s="6"/>
      <c r="V844" s="6"/>
      <c r="W844" s="6"/>
      <c r="X844" s="6"/>
      <c r="Y844" s="6" t="s">
        <v>954</v>
      </c>
    </row>
    <row r="845">
      <c r="S845" s="6"/>
      <c r="T845" s="6"/>
      <c r="U845" s="6"/>
      <c r="V845" s="6"/>
      <c r="W845" s="6"/>
      <c r="X845" s="6"/>
      <c r="Y845" s="6" t="s">
        <v>954</v>
      </c>
    </row>
    <row r="846">
      <c r="S846" s="6"/>
      <c r="T846" s="6"/>
      <c r="U846" s="6"/>
      <c r="V846" s="6"/>
      <c r="W846" s="6"/>
      <c r="X846" s="6"/>
      <c r="Y846" s="6" t="s">
        <v>954</v>
      </c>
    </row>
    <row r="847">
      <c r="S847" s="6"/>
      <c r="T847" s="6"/>
      <c r="U847" s="6"/>
      <c r="V847" s="6"/>
      <c r="W847" s="6"/>
      <c r="X847" s="6"/>
      <c r="Y847" s="6" t="s">
        <v>954</v>
      </c>
    </row>
    <row r="848">
      <c r="S848" s="6"/>
      <c r="T848" s="6"/>
      <c r="U848" s="6"/>
      <c r="V848" s="6"/>
      <c r="W848" s="6"/>
      <c r="X848" s="6"/>
      <c r="Y848" s="6" t="s">
        <v>954</v>
      </c>
    </row>
    <row r="849">
      <c r="S849" s="6"/>
      <c r="T849" s="6"/>
      <c r="U849" s="6"/>
      <c r="V849" s="6"/>
      <c r="W849" s="6"/>
      <c r="X849" s="6"/>
      <c r="Y849" s="6" t="s">
        <v>954</v>
      </c>
    </row>
    <row r="850">
      <c r="S850" s="6"/>
      <c r="T850" s="6"/>
      <c r="U850" s="6"/>
      <c r="V850" s="6"/>
      <c r="W850" s="6"/>
      <c r="X850" s="6"/>
      <c r="Y850" s="6" t="s">
        <v>954</v>
      </c>
    </row>
    <row r="851">
      <c r="S851" s="6"/>
      <c r="T851" s="6"/>
      <c r="U851" s="6"/>
      <c r="V851" s="6"/>
      <c r="W851" s="6"/>
      <c r="X851" s="6"/>
      <c r="Y851" s="6" t="s">
        <v>954</v>
      </c>
    </row>
    <row r="852">
      <c r="S852" s="6"/>
      <c r="T852" s="6"/>
      <c r="U852" s="6"/>
      <c r="V852" s="6"/>
      <c r="W852" s="6"/>
      <c r="X852" s="6"/>
      <c r="Y852" s="6" t="s">
        <v>954</v>
      </c>
    </row>
    <row r="853">
      <c r="S853" s="6"/>
      <c r="T853" s="6"/>
      <c r="U853" s="6"/>
      <c r="V853" s="6"/>
      <c r="W853" s="6"/>
      <c r="X853" s="6"/>
      <c r="Y853" s="6" t="s">
        <v>954</v>
      </c>
    </row>
    <row r="854">
      <c r="S854" s="6"/>
      <c r="T854" s="6"/>
      <c r="U854" s="6"/>
      <c r="V854" s="6"/>
      <c r="W854" s="6"/>
      <c r="X854" s="6"/>
      <c r="Y854" s="6" t="s">
        <v>954</v>
      </c>
    </row>
    <row r="855">
      <c r="S855" s="6"/>
      <c r="T855" s="6"/>
      <c r="U855" s="6"/>
      <c r="V855" s="6"/>
      <c r="W855" s="6"/>
      <c r="X855" s="6"/>
      <c r="Y855" s="6" t="s">
        <v>954</v>
      </c>
    </row>
    <row r="856">
      <c r="S856" s="6"/>
      <c r="T856" s="6"/>
      <c r="U856" s="6"/>
      <c r="V856" s="6"/>
      <c r="W856" s="6"/>
      <c r="X856" s="6"/>
      <c r="Y856" s="6" t="s">
        <v>954</v>
      </c>
    </row>
    <row r="857">
      <c r="S857" s="6"/>
      <c r="T857" s="6"/>
      <c r="U857" s="6"/>
      <c r="V857" s="6"/>
      <c r="W857" s="6"/>
      <c r="X857" s="6"/>
      <c r="Y857" s="6" t="s">
        <v>954</v>
      </c>
    </row>
    <row r="858">
      <c r="S858" s="6"/>
      <c r="T858" s="6"/>
      <c r="U858" s="6"/>
      <c r="V858" s="6"/>
      <c r="W858" s="6"/>
      <c r="X858" s="6"/>
      <c r="Y858" s="6" t="s">
        <v>954</v>
      </c>
    </row>
    <row r="859">
      <c r="S859" s="6"/>
      <c r="T859" s="6"/>
      <c r="U859" s="6"/>
      <c r="V859" s="6"/>
      <c r="W859" s="6"/>
      <c r="X859" s="6"/>
      <c r="Y859" s="6" t="s">
        <v>954</v>
      </c>
    </row>
    <row r="860">
      <c r="S860" s="6"/>
      <c r="T860" s="6"/>
      <c r="U860" s="6"/>
      <c r="V860" s="6"/>
      <c r="W860" s="6"/>
      <c r="X860" s="6"/>
      <c r="Y860" s="6" t="s">
        <v>954</v>
      </c>
    </row>
    <row r="861">
      <c r="S861" s="6"/>
      <c r="T861" s="6"/>
      <c r="U861" s="6"/>
      <c r="V861" s="6"/>
      <c r="W861" s="6"/>
      <c r="X861" s="6"/>
      <c r="Y861" s="6" t="s">
        <v>954</v>
      </c>
    </row>
    <row r="862">
      <c r="S862" s="6"/>
      <c r="T862" s="6"/>
      <c r="U862" s="6"/>
      <c r="V862" s="6"/>
      <c r="W862" s="6"/>
      <c r="X862" s="6"/>
      <c r="Y862" s="6" t="s">
        <v>954</v>
      </c>
    </row>
    <row r="863">
      <c r="S863" s="6"/>
      <c r="T863" s="6"/>
      <c r="U863" s="6"/>
      <c r="V863" s="6"/>
      <c r="W863" s="6"/>
      <c r="X863" s="6"/>
      <c r="Y863" s="6" t="s">
        <v>954</v>
      </c>
    </row>
    <row r="864">
      <c r="S864" s="6"/>
      <c r="T864" s="6"/>
      <c r="U864" s="6"/>
      <c r="V864" s="6"/>
      <c r="W864" s="6"/>
      <c r="X864" s="6"/>
      <c r="Y864" s="6" t="s">
        <v>954</v>
      </c>
    </row>
    <row r="865">
      <c r="S865" s="6"/>
      <c r="T865" s="6"/>
      <c r="U865" s="6"/>
      <c r="V865" s="6"/>
      <c r="W865" s="6"/>
      <c r="X865" s="6"/>
      <c r="Y865" s="6" t="s">
        <v>954</v>
      </c>
    </row>
    <row r="866">
      <c r="S866" s="6"/>
      <c r="T866" s="6"/>
      <c r="U866" s="6"/>
      <c r="V866" s="6"/>
      <c r="W866" s="6"/>
      <c r="X866" s="6"/>
      <c r="Y866" s="6" t="s">
        <v>954</v>
      </c>
    </row>
    <row r="867">
      <c r="S867" s="6"/>
      <c r="T867" s="6"/>
      <c r="U867" s="6"/>
      <c r="V867" s="6"/>
      <c r="W867" s="6"/>
      <c r="X867" s="6"/>
      <c r="Y867" s="6" t="s">
        <v>954</v>
      </c>
    </row>
    <row r="868">
      <c r="S868" s="6"/>
      <c r="T868" s="6"/>
      <c r="U868" s="6"/>
      <c r="V868" s="6"/>
      <c r="W868" s="6"/>
      <c r="X868" s="6"/>
      <c r="Y868" s="6" t="s">
        <v>954</v>
      </c>
    </row>
    <row r="869">
      <c r="S869" s="6"/>
      <c r="T869" s="6"/>
      <c r="U869" s="6"/>
      <c r="V869" s="6"/>
      <c r="W869" s="6"/>
      <c r="X869" s="6"/>
      <c r="Y869" s="6" t="s">
        <v>954</v>
      </c>
    </row>
    <row r="870">
      <c r="S870" s="6"/>
      <c r="T870" s="6"/>
      <c r="U870" s="6"/>
      <c r="V870" s="6"/>
      <c r="W870" s="6"/>
      <c r="X870" s="6"/>
      <c r="Y870" s="6" t="s">
        <v>954</v>
      </c>
    </row>
    <row r="871">
      <c r="S871" s="6"/>
      <c r="T871" s="6"/>
      <c r="U871" s="6"/>
      <c r="V871" s="6"/>
      <c r="W871" s="6"/>
      <c r="X871" s="6"/>
      <c r="Y871" s="6" t="s">
        <v>954</v>
      </c>
    </row>
    <row r="872">
      <c r="S872" s="6"/>
      <c r="T872" s="6"/>
      <c r="U872" s="6"/>
      <c r="V872" s="6"/>
      <c r="W872" s="6"/>
      <c r="X872" s="6"/>
      <c r="Y872" s="6" t="s">
        <v>954</v>
      </c>
    </row>
    <row r="873">
      <c r="S873" s="6"/>
      <c r="T873" s="6"/>
      <c r="U873" s="6"/>
      <c r="V873" s="6"/>
      <c r="W873" s="6"/>
      <c r="X873" s="6"/>
      <c r="Y873" s="6" t="s">
        <v>954</v>
      </c>
    </row>
    <row r="874">
      <c r="S874" s="6"/>
      <c r="T874" s="6"/>
      <c r="U874" s="6"/>
      <c r="V874" s="6"/>
      <c r="W874" s="6"/>
      <c r="X874" s="6"/>
      <c r="Y874" s="6" t="s">
        <v>954</v>
      </c>
    </row>
    <row r="875">
      <c r="S875" s="6"/>
      <c r="T875" s="6"/>
      <c r="U875" s="6"/>
      <c r="V875" s="6"/>
      <c r="W875" s="6"/>
      <c r="X875" s="6"/>
      <c r="Y875" s="6" t="s">
        <v>954</v>
      </c>
    </row>
    <row r="876">
      <c r="S876" s="6"/>
      <c r="T876" s="6"/>
      <c r="U876" s="6"/>
      <c r="V876" s="6"/>
      <c r="W876" s="6"/>
      <c r="X876" s="6"/>
      <c r="Y876" s="6" t="s">
        <v>954</v>
      </c>
    </row>
    <row r="877">
      <c r="S877" s="6"/>
      <c r="T877" s="6"/>
      <c r="U877" s="6"/>
      <c r="V877" s="6"/>
      <c r="W877" s="6"/>
      <c r="X877" s="6"/>
      <c r="Y877" s="6" t="s">
        <v>954</v>
      </c>
    </row>
    <row r="878">
      <c r="S878" s="6"/>
      <c r="T878" s="6"/>
      <c r="U878" s="6"/>
      <c r="V878" s="6"/>
      <c r="W878" s="6"/>
      <c r="X878" s="6"/>
      <c r="Y878" s="6" t="s">
        <v>954</v>
      </c>
    </row>
    <row r="879">
      <c r="S879" s="6"/>
      <c r="T879" s="6"/>
      <c r="U879" s="6"/>
      <c r="V879" s="6"/>
      <c r="W879" s="6"/>
      <c r="X879" s="6"/>
      <c r="Y879" s="6" t="s">
        <v>954</v>
      </c>
    </row>
    <row r="880">
      <c r="S880" s="6"/>
      <c r="T880" s="6"/>
      <c r="U880" s="6"/>
      <c r="V880" s="6"/>
      <c r="W880" s="6"/>
      <c r="X880" s="6"/>
      <c r="Y880" s="6" t="s">
        <v>954</v>
      </c>
    </row>
    <row r="881">
      <c r="S881" s="6"/>
      <c r="T881" s="6"/>
      <c r="U881" s="6"/>
      <c r="V881" s="6"/>
      <c r="W881" s="6"/>
      <c r="X881" s="6"/>
      <c r="Y881" s="6" t="s">
        <v>954</v>
      </c>
    </row>
    <row r="882">
      <c r="S882" s="6"/>
      <c r="T882" s="6"/>
      <c r="U882" s="6"/>
      <c r="V882" s="6"/>
      <c r="W882" s="6"/>
      <c r="X882" s="6"/>
      <c r="Y882" s="6" t="s">
        <v>954</v>
      </c>
    </row>
    <row r="883">
      <c r="S883" s="6"/>
      <c r="T883" s="6"/>
      <c r="U883" s="6"/>
      <c r="V883" s="6"/>
      <c r="W883" s="6"/>
      <c r="X883" s="6"/>
      <c r="Y883" s="6" t="s">
        <v>954</v>
      </c>
    </row>
    <row r="884">
      <c r="S884" s="6"/>
      <c r="T884" s="6"/>
      <c r="U884" s="6"/>
      <c r="V884" s="6"/>
      <c r="W884" s="6"/>
      <c r="X884" s="6"/>
      <c r="Y884" s="6" t="s">
        <v>954</v>
      </c>
    </row>
    <row r="885">
      <c r="S885" s="6"/>
      <c r="T885" s="6"/>
      <c r="U885" s="6"/>
      <c r="V885" s="6"/>
      <c r="W885" s="6"/>
      <c r="X885" s="6"/>
      <c r="Y885" s="6" t="s">
        <v>954</v>
      </c>
    </row>
    <row r="886">
      <c r="S886" s="6"/>
      <c r="T886" s="6"/>
      <c r="U886" s="6"/>
      <c r="V886" s="6"/>
      <c r="W886" s="6"/>
      <c r="X886" s="6"/>
      <c r="Y886" s="6" t="s">
        <v>954</v>
      </c>
    </row>
    <row r="887">
      <c r="S887" s="6"/>
      <c r="T887" s="6"/>
      <c r="U887" s="6"/>
      <c r="V887" s="6"/>
      <c r="W887" s="6"/>
      <c r="X887" s="6"/>
      <c r="Y887" s="6" t="s">
        <v>954</v>
      </c>
    </row>
    <row r="888">
      <c r="S888" s="6"/>
      <c r="T888" s="6"/>
      <c r="U888" s="6"/>
      <c r="V888" s="6"/>
      <c r="W888" s="6"/>
      <c r="X888" s="6"/>
      <c r="Y888" s="6" t="s">
        <v>954</v>
      </c>
    </row>
    <row r="889">
      <c r="S889" s="6"/>
      <c r="T889" s="6"/>
      <c r="U889" s="6"/>
      <c r="V889" s="6"/>
      <c r="W889" s="6"/>
      <c r="X889" s="6"/>
      <c r="Y889" s="6" t="s">
        <v>954</v>
      </c>
    </row>
    <row r="890">
      <c r="S890" s="6"/>
      <c r="T890" s="6"/>
      <c r="U890" s="6"/>
      <c r="V890" s="6"/>
      <c r="W890" s="6"/>
      <c r="X890" s="6"/>
      <c r="Y890" s="6" t="s">
        <v>954</v>
      </c>
    </row>
    <row r="891">
      <c r="S891" s="6"/>
      <c r="T891" s="6"/>
      <c r="U891" s="6"/>
      <c r="V891" s="6"/>
      <c r="W891" s="6"/>
      <c r="X891" s="6"/>
      <c r="Y891" s="6" t="s">
        <v>954</v>
      </c>
    </row>
    <row r="892">
      <c r="S892" s="6"/>
      <c r="T892" s="6"/>
      <c r="U892" s="6"/>
      <c r="V892" s="6"/>
      <c r="W892" s="6"/>
      <c r="X892" s="6"/>
      <c r="Y892" s="6" t="s">
        <v>954</v>
      </c>
    </row>
    <row r="893">
      <c r="S893" s="6"/>
      <c r="T893" s="6"/>
      <c r="U893" s="6"/>
      <c r="V893" s="6"/>
      <c r="W893" s="6"/>
      <c r="X893" s="6"/>
      <c r="Y893" s="6" t="s">
        <v>954</v>
      </c>
    </row>
    <row r="894">
      <c r="S894" s="6"/>
      <c r="T894" s="6"/>
      <c r="U894" s="6"/>
      <c r="V894" s="6"/>
      <c r="W894" s="6"/>
      <c r="X894" s="6"/>
      <c r="Y894" s="6" t="s">
        <v>954</v>
      </c>
    </row>
    <row r="895">
      <c r="S895" s="6"/>
      <c r="T895" s="6"/>
      <c r="U895" s="6"/>
      <c r="V895" s="6"/>
      <c r="W895" s="6"/>
      <c r="X895" s="6"/>
      <c r="Y895" s="6" t="s">
        <v>954</v>
      </c>
    </row>
    <row r="896">
      <c r="S896" s="6"/>
      <c r="T896" s="6"/>
      <c r="U896" s="6"/>
      <c r="V896" s="6"/>
      <c r="W896" s="6"/>
      <c r="X896" s="6"/>
      <c r="Y896" s="6" t="s">
        <v>954</v>
      </c>
    </row>
    <row r="897">
      <c r="S897" s="6"/>
      <c r="T897" s="6"/>
      <c r="U897" s="6"/>
      <c r="V897" s="6"/>
      <c r="W897" s="6"/>
      <c r="X897" s="6"/>
      <c r="Y897" s="6" t="s">
        <v>954</v>
      </c>
    </row>
    <row r="898">
      <c r="S898" s="6"/>
      <c r="T898" s="6"/>
      <c r="U898" s="6"/>
      <c r="V898" s="6"/>
      <c r="W898" s="6"/>
      <c r="X898" s="6"/>
      <c r="Y898" s="6" t="s">
        <v>954</v>
      </c>
    </row>
    <row r="899">
      <c r="S899" s="6"/>
      <c r="T899" s="6"/>
      <c r="U899" s="6"/>
      <c r="V899" s="6"/>
      <c r="W899" s="6"/>
      <c r="X899" s="6"/>
      <c r="Y899" s="6" t="s">
        <v>954</v>
      </c>
    </row>
    <row r="900">
      <c r="S900" s="6"/>
      <c r="T900" s="6"/>
      <c r="U900" s="6"/>
      <c r="V900" s="6"/>
      <c r="W900" s="6"/>
      <c r="X900" s="6"/>
      <c r="Y900" s="6" t="s">
        <v>954</v>
      </c>
    </row>
    <row r="901">
      <c r="S901" s="6"/>
      <c r="T901" s="6"/>
      <c r="U901" s="6"/>
      <c r="V901" s="6"/>
      <c r="W901" s="6"/>
      <c r="X901" s="6"/>
      <c r="Y901" s="6" t="s">
        <v>954</v>
      </c>
    </row>
    <row r="902">
      <c r="S902" s="6"/>
      <c r="T902" s="6"/>
      <c r="U902" s="6"/>
      <c r="V902" s="6"/>
      <c r="W902" s="6"/>
      <c r="X902" s="6"/>
      <c r="Y902" s="6" t="s">
        <v>954</v>
      </c>
    </row>
    <row r="903">
      <c r="S903" s="6"/>
      <c r="T903" s="6"/>
      <c r="U903" s="6"/>
      <c r="V903" s="6"/>
      <c r="W903" s="6"/>
      <c r="X903" s="6"/>
      <c r="Y903" s="6" t="s">
        <v>954</v>
      </c>
    </row>
    <row r="904">
      <c r="S904" s="6"/>
      <c r="T904" s="6"/>
      <c r="U904" s="6"/>
      <c r="V904" s="6"/>
      <c r="W904" s="6"/>
      <c r="X904" s="6"/>
      <c r="Y904" s="6" t="s">
        <v>954</v>
      </c>
    </row>
    <row r="905">
      <c r="S905" s="6"/>
      <c r="T905" s="6"/>
      <c r="U905" s="6"/>
      <c r="V905" s="6"/>
      <c r="W905" s="6"/>
      <c r="X905" s="6"/>
      <c r="Y905" s="6" t="s">
        <v>954</v>
      </c>
    </row>
    <row r="906">
      <c r="S906" s="6"/>
      <c r="T906" s="6"/>
      <c r="U906" s="6"/>
      <c r="V906" s="6"/>
      <c r="W906" s="6"/>
      <c r="X906" s="6"/>
      <c r="Y906" s="6" t="s">
        <v>954</v>
      </c>
    </row>
    <row r="907">
      <c r="S907" s="6"/>
      <c r="T907" s="6"/>
      <c r="U907" s="6"/>
      <c r="V907" s="6"/>
      <c r="W907" s="6"/>
      <c r="X907" s="6"/>
      <c r="Y907" s="6" t="s">
        <v>954</v>
      </c>
    </row>
    <row r="908">
      <c r="S908" s="6"/>
      <c r="T908" s="6"/>
      <c r="U908" s="6"/>
      <c r="V908" s="6"/>
      <c r="W908" s="6"/>
      <c r="X908" s="6"/>
      <c r="Y908" s="6" t="s">
        <v>954</v>
      </c>
    </row>
    <row r="909">
      <c r="S909" s="6"/>
      <c r="T909" s="6"/>
      <c r="U909" s="6"/>
      <c r="V909" s="6"/>
      <c r="W909" s="6"/>
      <c r="X909" s="6"/>
      <c r="Y909" s="6" t="s">
        <v>954</v>
      </c>
    </row>
    <row r="910">
      <c r="S910" s="6"/>
      <c r="T910" s="6"/>
      <c r="U910" s="6"/>
      <c r="V910" s="6"/>
      <c r="W910" s="6"/>
      <c r="X910" s="6"/>
      <c r="Y910" s="6" t="s">
        <v>954</v>
      </c>
    </row>
    <row r="911">
      <c r="S911" s="6"/>
      <c r="T911" s="6"/>
      <c r="U911" s="6"/>
      <c r="V911" s="6"/>
      <c r="W911" s="6"/>
      <c r="X911" s="6"/>
      <c r="Y911" s="6" t="s">
        <v>954</v>
      </c>
    </row>
    <row r="912">
      <c r="S912" s="6"/>
      <c r="T912" s="6"/>
      <c r="U912" s="6"/>
      <c r="V912" s="6"/>
      <c r="W912" s="6"/>
      <c r="X912" s="6"/>
      <c r="Y912" s="6" t="s">
        <v>954</v>
      </c>
    </row>
    <row r="913">
      <c r="S913" s="6"/>
      <c r="T913" s="6"/>
      <c r="U913" s="6"/>
      <c r="V913" s="6"/>
      <c r="W913" s="6"/>
      <c r="X913" s="6"/>
      <c r="Y913" s="6" t="s">
        <v>954</v>
      </c>
    </row>
    <row r="914">
      <c r="S914" s="6"/>
      <c r="T914" s="6"/>
      <c r="U914" s="6"/>
      <c r="V914" s="6"/>
      <c r="W914" s="6"/>
      <c r="X914" s="6"/>
      <c r="Y914" s="6" t="s">
        <v>954</v>
      </c>
    </row>
    <row r="915">
      <c r="S915" s="6"/>
      <c r="T915" s="6"/>
      <c r="U915" s="6"/>
      <c r="V915" s="6"/>
      <c r="W915" s="6"/>
      <c r="X915" s="6"/>
      <c r="Y915" s="6" t="s">
        <v>954</v>
      </c>
    </row>
    <row r="916">
      <c r="S916" s="6"/>
      <c r="T916" s="6"/>
      <c r="U916" s="6"/>
      <c r="V916" s="6"/>
      <c r="W916" s="6"/>
      <c r="X916" s="6"/>
      <c r="Y916" s="6" t="s">
        <v>954</v>
      </c>
    </row>
    <row r="917">
      <c r="S917" s="6"/>
      <c r="T917" s="6"/>
      <c r="U917" s="6"/>
      <c r="V917" s="6"/>
      <c r="W917" s="6"/>
      <c r="X917" s="6"/>
      <c r="Y917" s="6" t="s">
        <v>954</v>
      </c>
    </row>
    <row r="918">
      <c r="S918" s="6"/>
      <c r="T918" s="6"/>
      <c r="U918" s="6"/>
      <c r="V918" s="6"/>
      <c r="W918" s="6"/>
      <c r="X918" s="6"/>
      <c r="Y918" s="6" t="s">
        <v>954</v>
      </c>
    </row>
    <row r="919">
      <c r="S919" s="6"/>
      <c r="T919" s="6"/>
      <c r="U919" s="6"/>
      <c r="V919" s="6"/>
      <c r="W919" s="6"/>
      <c r="X919" s="6"/>
      <c r="Y919" s="6" t="s">
        <v>954</v>
      </c>
    </row>
    <row r="920">
      <c r="S920" s="6"/>
      <c r="T920" s="6"/>
      <c r="U920" s="6"/>
      <c r="V920" s="6"/>
      <c r="W920" s="6"/>
      <c r="X920" s="6"/>
      <c r="Y920" s="6" t="s">
        <v>954</v>
      </c>
    </row>
    <row r="921">
      <c r="S921" s="6"/>
      <c r="T921" s="6"/>
      <c r="U921" s="6"/>
      <c r="V921" s="6"/>
      <c r="W921" s="6"/>
      <c r="X921" s="6"/>
      <c r="Y921" s="6" t="s">
        <v>954</v>
      </c>
    </row>
    <row r="922">
      <c r="S922" s="6"/>
      <c r="T922" s="6"/>
      <c r="U922" s="6"/>
      <c r="V922" s="6"/>
      <c r="W922" s="6"/>
      <c r="X922" s="6"/>
      <c r="Y922" s="6" t="s">
        <v>954</v>
      </c>
    </row>
    <row r="923">
      <c r="S923" s="6"/>
      <c r="T923" s="6"/>
      <c r="U923" s="6"/>
      <c r="V923" s="6"/>
      <c r="W923" s="6"/>
      <c r="X923" s="6"/>
      <c r="Y923" s="6" t="s">
        <v>954</v>
      </c>
    </row>
    <row r="924">
      <c r="S924" s="6"/>
      <c r="T924" s="6"/>
      <c r="U924" s="6"/>
      <c r="V924" s="6"/>
      <c r="W924" s="6"/>
      <c r="X924" s="6"/>
      <c r="Y924" s="6" t="s">
        <v>954</v>
      </c>
    </row>
    <row r="925">
      <c r="S925" s="6"/>
      <c r="T925" s="6"/>
      <c r="U925" s="6"/>
      <c r="V925" s="6"/>
      <c r="W925" s="6"/>
      <c r="X925" s="6"/>
      <c r="Y925" s="6" t="s">
        <v>954</v>
      </c>
    </row>
    <row r="926">
      <c r="S926" s="6"/>
      <c r="T926" s="6"/>
      <c r="U926" s="6"/>
      <c r="V926" s="6"/>
      <c r="W926" s="6"/>
      <c r="X926" s="6"/>
      <c r="Y926" s="6" t="s">
        <v>954</v>
      </c>
    </row>
    <row r="927">
      <c r="S927" s="6"/>
      <c r="T927" s="6"/>
      <c r="U927" s="6"/>
      <c r="V927" s="6"/>
      <c r="W927" s="6"/>
      <c r="X927" s="6"/>
      <c r="Y927" s="6" t="s">
        <v>954</v>
      </c>
    </row>
    <row r="928">
      <c r="S928" s="6"/>
      <c r="T928" s="6"/>
      <c r="U928" s="6"/>
      <c r="V928" s="6"/>
      <c r="W928" s="6"/>
      <c r="X928" s="6"/>
      <c r="Y928" s="6" t="s">
        <v>954</v>
      </c>
    </row>
    <row r="929">
      <c r="S929" s="6"/>
      <c r="T929" s="6"/>
      <c r="U929" s="6"/>
      <c r="V929" s="6"/>
      <c r="W929" s="6"/>
      <c r="X929" s="6"/>
      <c r="Y929" s="6" t="s">
        <v>954</v>
      </c>
    </row>
    <row r="930">
      <c r="S930" s="6"/>
      <c r="T930" s="6"/>
      <c r="U930" s="6"/>
      <c r="V930" s="6"/>
      <c r="W930" s="6"/>
      <c r="X930" s="6"/>
      <c r="Y930" s="6" t="s">
        <v>954</v>
      </c>
    </row>
    <row r="931">
      <c r="S931" s="6"/>
      <c r="T931" s="6"/>
      <c r="U931" s="6"/>
      <c r="V931" s="6"/>
      <c r="W931" s="6"/>
      <c r="X931" s="6"/>
      <c r="Y931" s="6" t="s">
        <v>954</v>
      </c>
    </row>
    <row r="932">
      <c r="S932" s="6"/>
      <c r="T932" s="6"/>
      <c r="U932" s="6"/>
      <c r="V932" s="6"/>
      <c r="W932" s="6"/>
      <c r="X932" s="6"/>
      <c r="Y932" s="6" t="s">
        <v>954</v>
      </c>
    </row>
    <row r="933">
      <c r="S933" s="6"/>
      <c r="T933" s="6"/>
      <c r="U933" s="6"/>
      <c r="V933" s="6"/>
      <c r="W933" s="6"/>
      <c r="X933" s="6"/>
      <c r="Y933" s="6" t="s">
        <v>954</v>
      </c>
    </row>
    <row r="934">
      <c r="S934" s="6"/>
      <c r="T934" s="6"/>
      <c r="U934" s="6"/>
      <c r="V934" s="6"/>
      <c r="W934" s="6"/>
      <c r="X934" s="6"/>
      <c r="Y934" s="6" t="s">
        <v>954</v>
      </c>
    </row>
    <row r="935">
      <c r="S935" s="6"/>
      <c r="T935" s="6"/>
      <c r="U935" s="6"/>
      <c r="V935" s="6"/>
      <c r="W935" s="6"/>
      <c r="X935" s="6"/>
      <c r="Y935" s="6" t="s">
        <v>954</v>
      </c>
    </row>
    <row r="936">
      <c r="S936" s="6"/>
      <c r="T936" s="6"/>
      <c r="U936" s="6"/>
      <c r="V936" s="6"/>
      <c r="W936" s="6"/>
      <c r="X936" s="6"/>
      <c r="Y936" s="6" t="s">
        <v>954</v>
      </c>
    </row>
    <row r="937">
      <c r="S937" s="6"/>
      <c r="T937" s="6"/>
      <c r="U937" s="6"/>
      <c r="V937" s="6"/>
      <c r="W937" s="6"/>
      <c r="X937" s="6"/>
      <c r="Y937" s="6" t="s">
        <v>954</v>
      </c>
    </row>
    <row r="938">
      <c r="S938" s="6"/>
      <c r="T938" s="6"/>
      <c r="U938" s="6"/>
      <c r="V938" s="6"/>
      <c r="W938" s="6"/>
      <c r="X938" s="6"/>
      <c r="Y938" s="6" t="s">
        <v>954</v>
      </c>
    </row>
    <row r="939">
      <c r="S939" s="6"/>
      <c r="T939" s="6"/>
      <c r="U939" s="6"/>
      <c r="V939" s="6"/>
      <c r="W939" s="6"/>
      <c r="X939" s="6"/>
      <c r="Y939" s="6" t="s">
        <v>954</v>
      </c>
    </row>
    <row r="940">
      <c r="S940" s="6"/>
      <c r="T940" s="6"/>
      <c r="U940" s="6"/>
      <c r="V940" s="6"/>
      <c r="W940" s="6"/>
      <c r="X940" s="6"/>
      <c r="Y940" s="6" t="s">
        <v>954</v>
      </c>
    </row>
    <row r="941">
      <c r="S941" s="6"/>
      <c r="T941" s="6"/>
      <c r="U941" s="6"/>
      <c r="V941" s="6"/>
      <c r="W941" s="6"/>
      <c r="X941" s="6"/>
      <c r="Y941" s="6" t="s">
        <v>954</v>
      </c>
    </row>
    <row r="942">
      <c r="S942" s="6"/>
      <c r="T942" s="6"/>
      <c r="U942" s="6"/>
      <c r="V942" s="6"/>
      <c r="W942" s="6"/>
      <c r="X942" s="6"/>
      <c r="Y942" s="6" t="s">
        <v>954</v>
      </c>
    </row>
    <row r="943">
      <c r="S943" s="6"/>
      <c r="T943" s="6"/>
      <c r="U943" s="6"/>
      <c r="V943" s="6"/>
      <c r="W943" s="6"/>
      <c r="X943" s="6"/>
      <c r="Y943" s="6" t="s">
        <v>954</v>
      </c>
    </row>
    <row r="944">
      <c r="S944" s="6"/>
      <c r="T944" s="6"/>
      <c r="U944" s="6"/>
      <c r="V944" s="6"/>
      <c r="W944" s="6"/>
      <c r="X944" s="6"/>
      <c r="Y944" s="6" t="s">
        <v>954</v>
      </c>
    </row>
    <row r="945">
      <c r="S945" s="6"/>
      <c r="T945" s="6"/>
      <c r="U945" s="6"/>
      <c r="V945" s="6"/>
      <c r="W945" s="6"/>
      <c r="X945" s="6"/>
      <c r="Y945" s="6" t="s">
        <v>954</v>
      </c>
    </row>
    <row r="946">
      <c r="S946" s="6"/>
      <c r="T946" s="6"/>
      <c r="U946" s="6"/>
      <c r="V946" s="6"/>
      <c r="W946" s="6"/>
      <c r="X946" s="6"/>
      <c r="Y946" s="6" t="s">
        <v>954</v>
      </c>
    </row>
    <row r="947">
      <c r="S947" s="6"/>
      <c r="T947" s="6"/>
      <c r="U947" s="6"/>
      <c r="V947" s="6"/>
      <c r="W947" s="6"/>
      <c r="X947" s="6"/>
      <c r="Y947" s="6" t="s">
        <v>954</v>
      </c>
    </row>
    <row r="948">
      <c r="S948" s="6"/>
      <c r="T948" s="6"/>
      <c r="U948" s="6"/>
      <c r="V948" s="6"/>
      <c r="W948" s="6"/>
      <c r="X948" s="6"/>
      <c r="Y948" s="6" t="s">
        <v>954</v>
      </c>
    </row>
    <row r="949">
      <c r="S949" s="6"/>
      <c r="T949" s="6"/>
      <c r="U949" s="6"/>
      <c r="V949" s="6"/>
      <c r="W949" s="6"/>
      <c r="X949" s="6"/>
      <c r="Y949" s="6" t="s">
        <v>954</v>
      </c>
    </row>
    <row r="950">
      <c r="S950" s="6"/>
      <c r="T950" s="6"/>
      <c r="U950" s="6"/>
      <c r="V950" s="6"/>
      <c r="W950" s="6"/>
      <c r="X950" s="6"/>
      <c r="Y950" s="6" t="s">
        <v>954</v>
      </c>
    </row>
    <row r="951">
      <c r="S951" s="6"/>
      <c r="T951" s="6"/>
      <c r="U951" s="6"/>
      <c r="V951" s="6"/>
      <c r="W951" s="6"/>
      <c r="X951" s="6"/>
      <c r="Y951" s="6" t="s">
        <v>954</v>
      </c>
    </row>
    <row r="952">
      <c r="S952" s="6"/>
      <c r="T952" s="6"/>
      <c r="U952" s="6"/>
      <c r="V952" s="6"/>
      <c r="W952" s="6"/>
      <c r="X952" s="6"/>
      <c r="Y952" s="6" t="s">
        <v>954</v>
      </c>
    </row>
    <row r="953">
      <c r="S953" s="6"/>
      <c r="T953" s="6"/>
      <c r="U953" s="6"/>
      <c r="V953" s="6"/>
      <c r="W953" s="6"/>
      <c r="X953" s="6"/>
      <c r="Y953" s="6" t="s">
        <v>954</v>
      </c>
    </row>
    <row r="954">
      <c r="S954" s="6"/>
      <c r="T954" s="6"/>
      <c r="U954" s="6"/>
      <c r="V954" s="6"/>
      <c r="W954" s="6"/>
      <c r="X954" s="6"/>
      <c r="Y954" s="6" t="s">
        <v>954</v>
      </c>
    </row>
    <row r="955">
      <c r="S955" s="6"/>
      <c r="T955" s="6"/>
      <c r="U955" s="6"/>
      <c r="V955" s="6"/>
      <c r="W955" s="6"/>
      <c r="X955" s="6"/>
      <c r="Y955" s="6" t="s">
        <v>954</v>
      </c>
    </row>
    <row r="956">
      <c r="S956" s="6"/>
      <c r="T956" s="6"/>
      <c r="U956" s="6"/>
      <c r="V956" s="6"/>
      <c r="W956" s="6"/>
      <c r="X956" s="6"/>
      <c r="Y956" s="6" t="s">
        <v>954</v>
      </c>
    </row>
    <row r="957">
      <c r="S957" s="6"/>
      <c r="T957" s="6"/>
      <c r="U957" s="6"/>
      <c r="V957" s="6"/>
      <c r="W957" s="6"/>
      <c r="X957" s="6"/>
      <c r="Y957" s="6" t="s">
        <v>954</v>
      </c>
    </row>
    <row r="958">
      <c r="S958" s="6"/>
      <c r="T958" s="6"/>
      <c r="U958" s="6"/>
      <c r="V958" s="6"/>
      <c r="W958" s="6"/>
      <c r="X958" s="6"/>
      <c r="Y958" s="6" t="s">
        <v>954</v>
      </c>
    </row>
    <row r="959">
      <c r="S959" s="6"/>
      <c r="T959" s="6"/>
      <c r="U959" s="6"/>
      <c r="V959" s="6"/>
      <c r="W959" s="6"/>
      <c r="X959" s="6"/>
      <c r="Y959" s="6" t="s">
        <v>954</v>
      </c>
    </row>
    <row r="960">
      <c r="S960" s="6"/>
      <c r="T960" s="6"/>
      <c r="U960" s="6"/>
      <c r="V960" s="6"/>
      <c r="W960" s="6"/>
      <c r="X960" s="6"/>
      <c r="Y960" s="6" t="s">
        <v>954</v>
      </c>
    </row>
    <row r="961">
      <c r="S961" s="6"/>
      <c r="T961" s="6"/>
      <c r="U961" s="6"/>
      <c r="V961" s="6"/>
      <c r="W961" s="6"/>
      <c r="X961" s="6"/>
      <c r="Y961" s="6" t="s">
        <v>954</v>
      </c>
    </row>
    <row r="962">
      <c r="S962" s="6"/>
      <c r="T962" s="6"/>
      <c r="U962" s="6"/>
      <c r="V962" s="6"/>
      <c r="W962" s="6"/>
      <c r="X962" s="6"/>
      <c r="Y962" s="6" t="s">
        <v>954</v>
      </c>
    </row>
    <row r="963">
      <c r="S963" s="6"/>
      <c r="T963" s="6"/>
      <c r="U963" s="6"/>
      <c r="V963" s="6"/>
      <c r="W963" s="6"/>
      <c r="X963" s="6"/>
      <c r="Y963" s="6" t="s">
        <v>954</v>
      </c>
    </row>
    <row r="964">
      <c r="S964" s="6"/>
      <c r="T964" s="6"/>
      <c r="U964" s="6"/>
      <c r="V964" s="6"/>
      <c r="W964" s="6"/>
      <c r="X964" s="6"/>
      <c r="Y964" s="6" t="s">
        <v>954</v>
      </c>
    </row>
    <row r="965">
      <c r="S965" s="6"/>
      <c r="T965" s="6"/>
      <c r="U965" s="6"/>
      <c r="V965" s="6"/>
      <c r="W965" s="6"/>
      <c r="X965" s="6"/>
      <c r="Y965" s="6" t="s">
        <v>954</v>
      </c>
    </row>
    <row r="966">
      <c r="S966" s="6"/>
      <c r="T966" s="6"/>
      <c r="U966" s="6"/>
      <c r="V966" s="6"/>
      <c r="W966" s="6"/>
      <c r="X966" s="6"/>
      <c r="Y966" s="6" t="s">
        <v>954</v>
      </c>
    </row>
    <row r="967">
      <c r="S967" s="6"/>
      <c r="T967" s="6"/>
      <c r="U967" s="6"/>
      <c r="V967" s="6"/>
      <c r="W967" s="6"/>
      <c r="X967" s="6"/>
      <c r="Y967" s="6" t="s">
        <v>954</v>
      </c>
    </row>
    <row r="968">
      <c r="S968" s="6"/>
      <c r="T968" s="6"/>
      <c r="U968" s="6"/>
      <c r="V968" s="6"/>
      <c r="W968" s="6"/>
      <c r="X968" s="6"/>
      <c r="Y968" s="6" t="s">
        <v>954</v>
      </c>
    </row>
    <row r="969">
      <c r="S969" s="6"/>
      <c r="T969" s="6"/>
      <c r="U969" s="6"/>
      <c r="V969" s="6"/>
      <c r="W969" s="6"/>
      <c r="X969" s="6"/>
      <c r="Y969" s="6" t="s">
        <v>954</v>
      </c>
    </row>
    <row r="970">
      <c r="S970" s="6"/>
      <c r="T970" s="6"/>
      <c r="U970" s="6"/>
      <c r="V970" s="6"/>
      <c r="W970" s="6"/>
      <c r="X970" s="6"/>
      <c r="Y970" s="6" t="s">
        <v>954</v>
      </c>
    </row>
    <row r="971">
      <c r="S971" s="6"/>
      <c r="T971" s="6"/>
      <c r="U971" s="6"/>
      <c r="V971" s="6"/>
      <c r="W971" s="6"/>
      <c r="X971" s="6"/>
      <c r="Y971" s="6" t="s">
        <v>954</v>
      </c>
    </row>
    <row r="972">
      <c r="S972" s="6"/>
      <c r="T972" s="6"/>
      <c r="U972" s="6"/>
      <c r="V972" s="6"/>
      <c r="W972" s="6"/>
      <c r="X972" s="6"/>
      <c r="Y972" s="6" t="s">
        <v>954</v>
      </c>
    </row>
    <row r="973">
      <c r="S973" s="6"/>
      <c r="T973" s="6"/>
      <c r="U973" s="6"/>
      <c r="V973" s="6"/>
      <c r="W973" s="6"/>
      <c r="X973" s="6"/>
      <c r="Y973" s="6" t="s">
        <v>954</v>
      </c>
    </row>
    <row r="974">
      <c r="S974" s="6"/>
      <c r="T974" s="6"/>
      <c r="U974" s="6"/>
      <c r="V974" s="6"/>
      <c r="W974" s="6"/>
      <c r="X974" s="6"/>
      <c r="Y974" s="6" t="s">
        <v>954</v>
      </c>
    </row>
    <row r="975">
      <c r="S975" s="6"/>
      <c r="T975" s="6"/>
      <c r="U975" s="6"/>
      <c r="V975" s="6"/>
      <c r="W975" s="6"/>
      <c r="X975" s="6"/>
      <c r="Y975" s="6" t="s">
        <v>954</v>
      </c>
    </row>
    <row r="976">
      <c r="S976" s="6"/>
      <c r="T976" s="6"/>
      <c r="U976" s="6"/>
      <c r="V976" s="6"/>
      <c r="W976" s="6"/>
      <c r="X976" s="6"/>
      <c r="Y976" s="6" t="s">
        <v>954</v>
      </c>
    </row>
    <row r="977">
      <c r="S977" s="6"/>
      <c r="T977" s="6"/>
      <c r="U977" s="6"/>
      <c r="V977" s="6"/>
      <c r="W977" s="6"/>
      <c r="X977" s="6"/>
      <c r="Y977" s="6" t="s">
        <v>954</v>
      </c>
    </row>
    <row r="978">
      <c r="S978" s="6"/>
      <c r="T978" s="6"/>
      <c r="U978" s="6"/>
      <c r="V978" s="6"/>
      <c r="W978" s="6"/>
      <c r="X978" s="6"/>
      <c r="Y978" s="6" t="s">
        <v>954</v>
      </c>
    </row>
    <row r="979">
      <c r="S979" s="6"/>
      <c r="T979" s="6"/>
      <c r="U979" s="6"/>
      <c r="V979" s="6"/>
      <c r="W979" s="6"/>
      <c r="X979" s="6"/>
      <c r="Y979" s="6" t="s">
        <v>954</v>
      </c>
    </row>
    <row r="980">
      <c r="S980" s="6"/>
      <c r="T980" s="6"/>
      <c r="U980" s="6"/>
      <c r="V980" s="6"/>
      <c r="W980" s="6"/>
      <c r="X980" s="6"/>
      <c r="Y980" s="6" t="s">
        <v>954</v>
      </c>
    </row>
    <row r="981">
      <c r="S981" s="6"/>
      <c r="T981" s="6"/>
      <c r="U981" s="6"/>
      <c r="V981" s="6"/>
      <c r="W981" s="6"/>
      <c r="X981" s="6"/>
      <c r="Y981" s="6" t="s">
        <v>954</v>
      </c>
    </row>
    <row r="982">
      <c r="S982" s="6"/>
      <c r="T982" s="6"/>
      <c r="U982" s="6"/>
      <c r="V982" s="6"/>
      <c r="W982" s="6"/>
      <c r="X982" s="6"/>
      <c r="Y982" s="6" t="s">
        <v>954</v>
      </c>
    </row>
    <row r="983">
      <c r="S983" s="6"/>
      <c r="T983" s="6"/>
      <c r="U983" s="6"/>
      <c r="V983" s="6"/>
      <c r="W983" s="6"/>
      <c r="X983" s="6"/>
      <c r="Y983" s="6" t="s">
        <v>954</v>
      </c>
    </row>
    <row r="984">
      <c r="S984" s="6"/>
      <c r="T984" s="6"/>
      <c r="U984" s="6"/>
      <c r="V984" s="6"/>
      <c r="W984" s="6"/>
      <c r="X984" s="6"/>
      <c r="Y984" s="6" t="s">
        <v>954</v>
      </c>
    </row>
    <row r="985">
      <c r="S985" s="6"/>
      <c r="T985" s="6"/>
      <c r="U985" s="6"/>
      <c r="V985" s="6"/>
      <c r="W985" s="6"/>
      <c r="X985" s="6"/>
      <c r="Y985" s="6" t="s">
        <v>954</v>
      </c>
    </row>
    <row r="986">
      <c r="S986" s="6"/>
      <c r="T986" s="6"/>
      <c r="U986" s="6"/>
      <c r="V986" s="6"/>
      <c r="W986" s="6"/>
      <c r="X986" s="6"/>
      <c r="Y986" s="6" t="s">
        <v>954</v>
      </c>
    </row>
    <row r="987">
      <c r="S987" s="6"/>
      <c r="T987" s="6"/>
      <c r="U987" s="6"/>
      <c r="V987" s="6"/>
      <c r="W987" s="6"/>
      <c r="X987" s="6"/>
      <c r="Y987" s="6" t="s">
        <v>954</v>
      </c>
    </row>
    <row r="988">
      <c r="S988" s="6"/>
      <c r="T988" s="6"/>
      <c r="U988" s="6"/>
      <c r="V988" s="6"/>
      <c r="W988" s="6"/>
      <c r="X988" s="6"/>
      <c r="Y988" s="6" t="s">
        <v>954</v>
      </c>
    </row>
    <row r="989">
      <c r="S989" s="6"/>
      <c r="T989" s="6"/>
      <c r="U989" s="6"/>
      <c r="V989" s="6"/>
      <c r="W989" s="6"/>
      <c r="X989" s="6"/>
      <c r="Y989" s="6" t="s">
        <v>954</v>
      </c>
    </row>
    <row r="990">
      <c r="S990" s="6"/>
      <c r="T990" s="6"/>
      <c r="U990" s="6"/>
      <c r="V990" s="6"/>
      <c r="W990" s="6"/>
      <c r="X990" s="6"/>
      <c r="Y990" s="6" t="s">
        <v>954</v>
      </c>
    </row>
    <row r="991">
      <c r="S991" s="6"/>
      <c r="T991" s="6"/>
      <c r="U991" s="6"/>
      <c r="V991" s="6"/>
      <c r="W991" s="6"/>
      <c r="X991" s="6"/>
      <c r="Y991" s="6" t="s">
        <v>954</v>
      </c>
    </row>
    <row r="992">
      <c r="S992" s="6"/>
      <c r="T992" s="6"/>
      <c r="U992" s="6"/>
      <c r="V992" s="6"/>
      <c r="W992" s="6"/>
      <c r="X992" s="6"/>
      <c r="Y992" s="6" t="s">
        <v>954</v>
      </c>
    </row>
    <row r="993">
      <c r="S993" s="6"/>
      <c r="T993" s="6"/>
      <c r="U993" s="6"/>
      <c r="V993" s="6"/>
      <c r="W993" s="6"/>
      <c r="X993" s="6"/>
      <c r="Y993" s="6" t="s">
        <v>954</v>
      </c>
    </row>
    <row r="994">
      <c r="S994" s="6"/>
      <c r="T994" s="6"/>
      <c r="U994" s="6"/>
      <c r="V994" s="6"/>
      <c r="W994" s="6"/>
      <c r="X994" s="6"/>
      <c r="Y994" s="6" t="s">
        <v>954</v>
      </c>
    </row>
    <row r="995">
      <c r="S995" s="6"/>
      <c r="T995" s="6"/>
      <c r="U995" s="6"/>
      <c r="V995" s="6"/>
      <c r="W995" s="6"/>
      <c r="X995" s="6"/>
      <c r="Y995" s="6" t="s">
        <v>954</v>
      </c>
    </row>
    <row r="996">
      <c r="S996" s="6"/>
      <c r="T996" s="6"/>
      <c r="U996" s="6"/>
      <c r="V996" s="6"/>
      <c r="W996" s="6"/>
      <c r="X996" s="6"/>
      <c r="Y996" s="6" t="s">
        <v>954</v>
      </c>
    </row>
    <row r="997">
      <c r="S997" s="6"/>
      <c r="T997" s="6"/>
      <c r="U997" s="6"/>
      <c r="V997" s="6"/>
      <c r="W997" s="6"/>
      <c r="X997" s="6"/>
      <c r="Y997" s="6" t="s">
        <v>954</v>
      </c>
    </row>
    <row r="998">
      <c r="S998" s="6"/>
      <c r="T998" s="6"/>
      <c r="U998" s="6"/>
      <c r="V998" s="6"/>
      <c r="W998" s="6"/>
      <c r="X998" s="6"/>
      <c r="Y998" s="6" t="s">
        <v>954</v>
      </c>
    </row>
    <row r="999">
      <c r="S999" s="6"/>
      <c r="T999" s="6"/>
      <c r="U999" s="6"/>
      <c r="V999" s="6"/>
      <c r="W999" s="6"/>
      <c r="X999" s="6"/>
      <c r="Y999" s="6" t="s">
        <v>954</v>
      </c>
    </row>
    <row r="1000">
      <c r="S1000" s="6"/>
      <c r="T1000" s="6"/>
      <c r="U1000" s="6"/>
      <c r="V1000" s="6"/>
      <c r="W1000" s="6"/>
      <c r="X1000" s="6"/>
      <c r="Y1000" s="6" t="s">
        <v>954</v>
      </c>
    </row>
    <row r="1001">
      <c r="S1001" s="6"/>
      <c r="T1001" s="6"/>
      <c r="U1001" s="6"/>
      <c r="V1001" s="6"/>
      <c r="W1001" s="6"/>
      <c r="X1001" s="6"/>
      <c r="Y1001" s="6" t="s">
        <v>954</v>
      </c>
    </row>
    <row r="1002">
      <c r="S1002" s="6"/>
      <c r="T1002" s="6"/>
      <c r="U1002" s="6"/>
      <c r="V1002" s="6"/>
      <c r="W1002" s="6"/>
      <c r="X1002" s="6"/>
      <c r="Y1002" s="6" t="s">
        <v>954</v>
      </c>
    </row>
    <row r="1003">
      <c r="S1003" s="6"/>
      <c r="T1003" s="6"/>
      <c r="U1003" s="6"/>
      <c r="V1003" s="6"/>
      <c r="W1003" s="6"/>
      <c r="X1003" s="6"/>
      <c r="Y1003" s="6" t="s">
        <v>954</v>
      </c>
    </row>
    <row r="1004">
      <c r="S1004" s="6"/>
      <c r="T1004" s="6"/>
      <c r="U1004" s="6"/>
      <c r="V1004" s="6"/>
      <c r="W1004" s="6"/>
      <c r="X1004" s="6"/>
      <c r="Y1004" s="6" t="s">
        <v>954</v>
      </c>
    </row>
    <row r="1005">
      <c r="S1005" s="6"/>
      <c r="T1005" s="6"/>
      <c r="U1005" s="6"/>
      <c r="V1005" s="6"/>
      <c r="W1005" s="6"/>
      <c r="X1005" s="6"/>
      <c r="Y1005" s="6" t="s">
        <v>954</v>
      </c>
    </row>
    <row r="1006">
      <c r="S1006" s="6"/>
      <c r="T1006" s="6"/>
      <c r="U1006" s="6"/>
      <c r="V1006" s="6"/>
      <c r="W1006" s="6"/>
      <c r="X1006" s="6"/>
      <c r="Y1006" s="6" t="s">
        <v>954</v>
      </c>
    </row>
    <row r="1007">
      <c r="S1007" s="6"/>
      <c r="T1007" s="6"/>
      <c r="U1007" s="6"/>
      <c r="V1007" s="6"/>
      <c r="W1007" s="6"/>
      <c r="X1007" s="6"/>
      <c r="Y1007" s="6" t="s">
        <v>954</v>
      </c>
    </row>
    <row r="1008">
      <c r="S1008" s="6"/>
      <c r="T1008" s="6"/>
      <c r="U1008" s="6"/>
      <c r="V1008" s="6"/>
      <c r="W1008" s="6"/>
      <c r="X1008" s="6"/>
      <c r="Y1008" s="6" t="s">
        <v>954</v>
      </c>
    </row>
    <row r="1009">
      <c r="S1009" s="6"/>
      <c r="T1009" s="6"/>
      <c r="U1009" s="6"/>
      <c r="V1009" s="6"/>
      <c r="W1009" s="6"/>
      <c r="X1009" s="6"/>
      <c r="Y1009" s="6" t="s">
        <v>954</v>
      </c>
    </row>
    <row r="1010">
      <c r="S1010" s="6"/>
      <c r="T1010" s="6"/>
      <c r="U1010" s="6"/>
      <c r="V1010" s="6"/>
      <c r="W1010" s="6"/>
      <c r="X1010" s="6"/>
      <c r="Y1010" s="6" t="s">
        <v>954</v>
      </c>
    </row>
    <row r="1011">
      <c r="S1011" s="6"/>
      <c r="T1011" s="6"/>
      <c r="U1011" s="6"/>
      <c r="V1011" s="6"/>
      <c r="W1011" s="6"/>
      <c r="X1011" s="6"/>
      <c r="Y1011" s="6" t="s">
        <v>954</v>
      </c>
    </row>
    <row r="1012">
      <c r="S1012" s="6"/>
      <c r="T1012" s="6"/>
      <c r="U1012" s="6"/>
      <c r="V1012" s="6"/>
      <c r="W1012" s="6"/>
      <c r="X1012" s="6"/>
      <c r="Y1012" s="6" t="s">
        <v>954</v>
      </c>
    </row>
    <row r="1013">
      <c r="S1013" s="6"/>
      <c r="T1013" s="6"/>
      <c r="U1013" s="6"/>
      <c r="V1013" s="6"/>
      <c r="W1013" s="6"/>
      <c r="X1013" s="6"/>
      <c r="Y1013" s="6" t="s">
        <v>954</v>
      </c>
    </row>
    <row r="1014">
      <c r="S1014" s="6"/>
      <c r="T1014" s="6"/>
      <c r="U1014" s="6"/>
      <c r="V1014" s="6"/>
      <c r="W1014" s="6"/>
      <c r="X1014" s="6"/>
      <c r="Y1014" s="6" t="s">
        <v>954</v>
      </c>
    </row>
    <row r="1015">
      <c r="S1015" s="6"/>
      <c r="T1015" s="6"/>
      <c r="U1015" s="6"/>
      <c r="V1015" s="6"/>
      <c r="W1015" s="6"/>
      <c r="X1015" s="6"/>
      <c r="Y1015" s="6" t="s">
        <v>954</v>
      </c>
    </row>
    <row r="1016">
      <c r="S1016" s="6"/>
      <c r="T1016" s="6"/>
      <c r="U1016" s="6"/>
      <c r="V1016" s="6"/>
      <c r="W1016" s="6"/>
      <c r="X1016" s="6"/>
      <c r="Y1016" s="6" t="s">
        <v>954</v>
      </c>
    </row>
    <row r="1017">
      <c r="S1017" s="6"/>
      <c r="T1017" s="6"/>
      <c r="U1017" s="6"/>
      <c r="V1017" s="6"/>
      <c r="W1017" s="6"/>
      <c r="X1017" s="6"/>
      <c r="Y1017" s="6" t="s">
        <v>954</v>
      </c>
    </row>
    <row r="1018">
      <c r="S1018" s="6"/>
      <c r="T1018" s="6"/>
      <c r="U1018" s="6"/>
      <c r="V1018" s="6"/>
      <c r="W1018" s="6"/>
      <c r="X1018" s="6"/>
      <c r="Y1018" s="6" t="s">
        <v>954</v>
      </c>
    </row>
    <row r="1019">
      <c r="S1019" s="6"/>
      <c r="T1019" s="6"/>
      <c r="U1019" s="6"/>
      <c r="V1019" s="6"/>
      <c r="W1019" s="6"/>
      <c r="X1019" s="6"/>
      <c r="Y1019" s="6" t="s">
        <v>954</v>
      </c>
    </row>
    <row r="1020">
      <c r="S1020" s="6"/>
      <c r="T1020" s="6"/>
      <c r="U1020" s="6"/>
      <c r="V1020" s="6"/>
      <c r="W1020" s="6"/>
      <c r="X1020" s="6"/>
      <c r="Y1020" s="6" t="s">
        <v>954</v>
      </c>
    </row>
    <row r="1021">
      <c r="S1021" s="6"/>
      <c r="T1021" s="6"/>
      <c r="U1021" s="6"/>
      <c r="V1021" s="6"/>
      <c r="W1021" s="6"/>
      <c r="X1021" s="6"/>
      <c r="Y1021" s="6" t="s">
        <v>954</v>
      </c>
    </row>
    <row r="1022">
      <c r="S1022" s="6"/>
      <c r="T1022" s="6"/>
      <c r="U1022" s="6"/>
      <c r="V1022" s="6"/>
      <c r="W1022" s="6"/>
      <c r="X1022" s="6"/>
      <c r="Y1022" s="6" t="s">
        <v>954</v>
      </c>
    </row>
    <row r="1023">
      <c r="S1023" s="6"/>
      <c r="T1023" s="6"/>
      <c r="U1023" s="6"/>
      <c r="V1023" s="6"/>
      <c r="W1023" s="6"/>
      <c r="X1023" s="6"/>
      <c r="Y1023" s="6" t="s">
        <v>954</v>
      </c>
    </row>
    <row r="1024">
      <c r="S1024" s="6"/>
      <c r="T1024" s="6"/>
      <c r="U1024" s="6"/>
      <c r="V1024" s="6"/>
      <c r="W1024" s="6"/>
      <c r="X1024" s="6"/>
      <c r="Y1024" s="6" t="s">
        <v>954</v>
      </c>
    </row>
    <row r="1025">
      <c r="S1025" s="6"/>
      <c r="T1025" s="6"/>
      <c r="U1025" s="6"/>
      <c r="V1025" s="6"/>
      <c r="W1025" s="6"/>
      <c r="X1025" s="6"/>
      <c r="Y1025" s="6" t="s">
        <v>954</v>
      </c>
    </row>
    <row r="1026">
      <c r="S1026" s="6"/>
      <c r="T1026" s="6"/>
      <c r="U1026" s="6"/>
      <c r="V1026" s="6"/>
      <c r="W1026" s="6"/>
      <c r="X1026" s="6"/>
      <c r="Y1026" s="6" t="s">
        <v>954</v>
      </c>
    </row>
    <row r="1027">
      <c r="S1027" s="6"/>
      <c r="T1027" s="6"/>
      <c r="U1027" s="6"/>
      <c r="V1027" s="6"/>
      <c r="W1027" s="6"/>
      <c r="X1027" s="6"/>
      <c r="Y1027" s="6" t="s">
        <v>954</v>
      </c>
    </row>
    <row r="1028">
      <c r="S1028" s="6"/>
      <c r="T1028" s="6"/>
      <c r="U1028" s="6"/>
      <c r="V1028" s="6"/>
      <c r="W1028" s="6"/>
      <c r="X1028" s="6"/>
      <c r="Y1028" s="6" t="s">
        <v>954</v>
      </c>
    </row>
    <row r="1029">
      <c r="S1029" s="6"/>
      <c r="T1029" s="6"/>
      <c r="U1029" s="6"/>
      <c r="V1029" s="6"/>
      <c r="W1029" s="6"/>
      <c r="X1029" s="6"/>
      <c r="Y1029" s="6" t="s">
        <v>954</v>
      </c>
    </row>
    <row r="1030">
      <c r="S1030" s="6"/>
      <c r="T1030" s="6"/>
      <c r="U1030" s="6"/>
      <c r="V1030" s="6"/>
      <c r="W1030" s="6"/>
      <c r="X1030" s="6"/>
      <c r="Y1030" s="6" t="s">
        <v>954</v>
      </c>
    </row>
    <row r="1031">
      <c r="S1031" s="6"/>
      <c r="T1031" s="6"/>
      <c r="U1031" s="6"/>
      <c r="V1031" s="6"/>
      <c r="W1031" s="6"/>
      <c r="X1031" s="6"/>
      <c r="Y1031" s="6" t="s">
        <v>954</v>
      </c>
    </row>
    <row r="1032">
      <c r="S1032" s="6"/>
      <c r="T1032" s="6"/>
      <c r="U1032" s="6"/>
      <c r="V1032" s="6"/>
      <c r="W1032" s="6"/>
      <c r="X1032" s="6"/>
      <c r="Y1032" s="6" t="s">
        <v>954</v>
      </c>
    </row>
    <row r="1033">
      <c r="S1033" s="6"/>
      <c r="T1033" s="6"/>
      <c r="U1033" s="6"/>
      <c r="V1033" s="6"/>
      <c r="W1033" s="6"/>
      <c r="X1033" s="6"/>
      <c r="Y1033" s="6" t="s">
        <v>954</v>
      </c>
    </row>
    <row r="1034">
      <c r="S1034" s="6"/>
      <c r="T1034" s="6"/>
      <c r="U1034" s="6"/>
      <c r="V1034" s="6"/>
      <c r="W1034" s="6"/>
      <c r="X1034" s="6"/>
      <c r="Y1034" s="6" t="s">
        <v>954</v>
      </c>
    </row>
    <row r="1035">
      <c r="S1035" s="6"/>
      <c r="T1035" s="6"/>
      <c r="U1035" s="6"/>
      <c r="V1035" s="6"/>
      <c r="W1035" s="6"/>
      <c r="X1035" s="6"/>
      <c r="Y1035" s="6" t="s">
        <v>954</v>
      </c>
    </row>
    <row r="1036">
      <c r="S1036" s="6"/>
      <c r="T1036" s="6"/>
      <c r="U1036" s="6"/>
      <c r="V1036" s="6"/>
      <c r="W1036" s="6"/>
      <c r="X1036" s="6"/>
      <c r="Y1036" s="6" t="s">
        <v>954</v>
      </c>
    </row>
    <row r="1037">
      <c r="S1037" s="6"/>
      <c r="T1037" s="6"/>
      <c r="U1037" s="6"/>
      <c r="V1037" s="6"/>
      <c r="W1037" s="6"/>
      <c r="X1037" s="6"/>
      <c r="Y1037" s="6" t="s">
        <v>954</v>
      </c>
    </row>
    <row r="1038">
      <c r="S1038" s="6"/>
      <c r="T1038" s="6"/>
      <c r="U1038" s="6"/>
      <c r="V1038" s="6"/>
      <c r="W1038" s="6"/>
      <c r="X1038" s="6"/>
      <c r="Y1038" s="6" t="s">
        <v>954</v>
      </c>
    </row>
    <row r="1039">
      <c r="S1039" s="6"/>
      <c r="T1039" s="6"/>
      <c r="U1039" s="6"/>
      <c r="V1039" s="6"/>
      <c r="W1039" s="6"/>
      <c r="X1039" s="6"/>
      <c r="Y1039" s="6" t="s">
        <v>954</v>
      </c>
    </row>
    <row r="1040">
      <c r="Y1040" s="6" t="s">
        <v>954</v>
      </c>
    </row>
    <row r="1041">
      <c r="Y1041" s="6" t="s">
        <v>954</v>
      </c>
    </row>
    <row r="1042">
      <c r="Y1042" s="6" t="s">
        <v>954</v>
      </c>
    </row>
    <row r="1043">
      <c r="Y1043" s="6" t="s">
        <v>954</v>
      </c>
    </row>
    <row r="1044">
      <c r="Y1044" s="6" t="s">
        <v>954</v>
      </c>
    </row>
    <row r="1045">
      <c r="Y1045" s="6" t="s">
        <v>954</v>
      </c>
    </row>
    <row r="1046">
      <c r="Y1046" s="6" t="s">
        <v>954</v>
      </c>
    </row>
    <row r="1047">
      <c r="Y1047" s="6" t="s">
        <v>954</v>
      </c>
    </row>
    <row r="1048">
      <c r="Y1048" s="6" t="s">
        <v>954</v>
      </c>
    </row>
    <row r="1049">
      <c r="Y1049" s="6" t="s">
        <v>954</v>
      </c>
    </row>
    <row r="1050">
      <c r="Y1050" s="6" t="s">
        <v>954</v>
      </c>
    </row>
    <row r="1051">
      <c r="Y1051" s="6" t="s">
        <v>954</v>
      </c>
    </row>
    <row r="1052">
      <c r="Y1052" s="6" t="s">
        <v>954</v>
      </c>
    </row>
    <row r="1053">
      <c r="Y1053" s="6" t="s">
        <v>954</v>
      </c>
    </row>
    <row r="1054">
      <c r="Y1054" s="6" t="s">
        <v>954</v>
      </c>
    </row>
    <row r="1055">
      <c r="Y1055" s="6" t="s">
        <v>954</v>
      </c>
    </row>
    <row r="1056">
      <c r="Y1056" s="6" t="s">
        <v>954</v>
      </c>
    </row>
    <row r="1057">
      <c r="Y1057" s="6" t="s">
        <v>954</v>
      </c>
    </row>
    <row r="1058">
      <c r="Y1058" s="6" t="s">
        <v>954</v>
      </c>
    </row>
    <row r="1059">
      <c r="Y1059" s="6" t="s">
        <v>954</v>
      </c>
    </row>
    <row r="1060">
      <c r="Y1060" s="6" t="s">
        <v>954</v>
      </c>
    </row>
    <row r="1061">
      <c r="Y1061" s="6" t="s">
        <v>954</v>
      </c>
    </row>
    <row r="1062">
      <c r="Y1062" s="6" t="s">
        <v>954</v>
      </c>
    </row>
    <row r="1063">
      <c r="Y1063" s="6" t="s">
        <v>954</v>
      </c>
    </row>
    <row r="1064">
      <c r="Y1064" s="6" t="s">
        <v>954</v>
      </c>
    </row>
    <row r="1065">
      <c r="Y1065" s="6" t="s">
        <v>954</v>
      </c>
    </row>
    <row r="1066">
      <c r="Y1066" s="6" t="s">
        <v>954</v>
      </c>
    </row>
    <row r="1067">
      <c r="Y1067" s="6" t="s">
        <v>954</v>
      </c>
    </row>
    <row r="1068">
      <c r="Y1068" s="6" t="s">
        <v>954</v>
      </c>
    </row>
    <row r="1069">
      <c r="Y1069" s="6" t="s">
        <v>954</v>
      </c>
    </row>
    <row r="1070">
      <c r="Y1070" s="6" t="s">
        <v>954</v>
      </c>
    </row>
    <row r="1071">
      <c r="Y1071" s="6" t="s">
        <v>954</v>
      </c>
    </row>
    <row r="1072">
      <c r="Y1072" s="6" t="s">
        <v>954</v>
      </c>
    </row>
    <row r="1073">
      <c r="Y1073" s="6" t="s">
        <v>954</v>
      </c>
    </row>
    <row r="1074">
      <c r="Y1074" s="6" t="s">
        <v>954</v>
      </c>
    </row>
    <row r="1075">
      <c r="Y1075" s="6" t="s">
        <v>954</v>
      </c>
    </row>
    <row r="1076">
      <c r="Y1076" s="6" t="s">
        <v>954</v>
      </c>
    </row>
    <row r="1077">
      <c r="Y1077" s="6" t="s">
        <v>954</v>
      </c>
    </row>
    <row r="1078">
      <c r="Y1078" s="6" t="s">
        <v>954</v>
      </c>
    </row>
    <row r="1079">
      <c r="Y1079" s="6" t="s">
        <v>954</v>
      </c>
    </row>
    <row r="1080">
      <c r="Y1080" s="6" t="s">
        <v>954</v>
      </c>
    </row>
    <row r="1081">
      <c r="Y1081" s="6" t="s">
        <v>954</v>
      </c>
    </row>
    <row r="1082">
      <c r="Y1082" s="6" t="s">
        <v>954</v>
      </c>
    </row>
    <row r="1083">
      <c r="Y1083" s="6" t="s">
        <v>954</v>
      </c>
    </row>
    <row r="1084">
      <c r="Y1084" s="6" t="s">
        <v>954</v>
      </c>
    </row>
    <row r="1085">
      <c r="Y1085" s="6" t="s">
        <v>954</v>
      </c>
    </row>
    <row r="1086">
      <c r="Y1086" s="6" t="s">
        <v>954</v>
      </c>
    </row>
    <row r="1087">
      <c r="Y1087" s="6" t="s">
        <v>954</v>
      </c>
    </row>
    <row r="1088">
      <c r="Y1088" s="6" t="s">
        <v>954</v>
      </c>
    </row>
    <row r="1089">
      <c r="Y1089" s="6" t="s">
        <v>954</v>
      </c>
    </row>
    <row r="1090">
      <c r="Y1090" s="6" t="s">
        <v>954</v>
      </c>
    </row>
    <row r="1091">
      <c r="Y1091" s="6" t="s">
        <v>954</v>
      </c>
    </row>
    <row r="1092">
      <c r="Y1092" s="6" t="s">
        <v>954</v>
      </c>
    </row>
    <row r="1093">
      <c r="Y1093" s="6" t="s">
        <v>954</v>
      </c>
    </row>
    <row r="1094">
      <c r="Y1094" s="6" t="s">
        <v>954</v>
      </c>
    </row>
    <row r="1095">
      <c r="Y1095" s="6" t="s">
        <v>954</v>
      </c>
    </row>
    <row r="1096">
      <c r="Y1096" s="6" t="s">
        <v>954</v>
      </c>
    </row>
    <row r="1097">
      <c r="Y1097" s="6" t="s">
        <v>954</v>
      </c>
    </row>
    <row r="1098">
      <c r="Y1098" s="6" t="s">
        <v>954</v>
      </c>
    </row>
    <row r="1099">
      <c r="Y1099" s="6" t="s">
        <v>954</v>
      </c>
    </row>
    <row r="1100">
      <c r="Y1100" s="6" t="s">
        <v>954</v>
      </c>
    </row>
    <row r="1101">
      <c r="Y1101" s="6" t="s">
        <v>954</v>
      </c>
    </row>
    <row r="1102">
      <c r="Y1102" s="6" t="s">
        <v>954</v>
      </c>
    </row>
    <row r="1103">
      <c r="Y1103" s="6" t="s">
        <v>954</v>
      </c>
    </row>
    <row r="1104">
      <c r="Y1104" s="6" t="s">
        <v>954</v>
      </c>
    </row>
    <row r="1105">
      <c r="Y1105" s="6" t="s">
        <v>954</v>
      </c>
    </row>
    <row r="1106">
      <c r="Y1106" s="6" t="s">
        <v>954</v>
      </c>
    </row>
    <row r="1107">
      <c r="Y1107" s="6" t="s">
        <v>954</v>
      </c>
    </row>
    <row r="1108">
      <c r="Y1108" s="6" t="s">
        <v>954</v>
      </c>
    </row>
    <row r="1109">
      <c r="Y1109" s="6" t="s">
        <v>954</v>
      </c>
    </row>
    <row r="1110">
      <c r="Y1110" s="6" t="s">
        <v>954</v>
      </c>
    </row>
    <row r="1111">
      <c r="Y1111" s="6" t="s">
        <v>954</v>
      </c>
    </row>
    <row r="1112">
      <c r="Y1112" s="6" t="s">
        <v>954</v>
      </c>
    </row>
    <row r="1113">
      <c r="Y1113" s="6" t="s">
        <v>954</v>
      </c>
    </row>
    <row r="1114">
      <c r="Y1114" s="6" t="s">
        <v>954</v>
      </c>
    </row>
    <row r="1115">
      <c r="Y1115" s="6" t="s">
        <v>954</v>
      </c>
    </row>
    <row r="1116">
      <c r="Y1116" s="6" t="s">
        <v>954</v>
      </c>
    </row>
    <row r="1117">
      <c r="Y1117" s="6" t="s">
        <v>954</v>
      </c>
    </row>
    <row r="1118">
      <c r="Y1118" s="6" t="s">
        <v>954</v>
      </c>
    </row>
    <row r="1119">
      <c r="Y1119" s="6" t="s">
        <v>954</v>
      </c>
    </row>
    <row r="1120">
      <c r="Y1120" s="6" t="s">
        <v>954</v>
      </c>
    </row>
    <row r="1121">
      <c r="Y1121" s="6" t="s">
        <v>954</v>
      </c>
    </row>
    <row r="1122">
      <c r="Y1122" s="6" t="s">
        <v>954</v>
      </c>
    </row>
    <row r="1123">
      <c r="Y1123" s="6" t="s">
        <v>954</v>
      </c>
    </row>
    <row r="1124">
      <c r="Y1124" s="6" t="s">
        <v>954</v>
      </c>
    </row>
    <row r="1125">
      <c r="Y1125" s="6" t="s">
        <v>954</v>
      </c>
    </row>
    <row r="1126">
      <c r="Y1126" s="6" t="s">
        <v>954</v>
      </c>
    </row>
    <row r="1127">
      <c r="Y1127" s="6" t="s">
        <v>954</v>
      </c>
    </row>
    <row r="1128">
      <c r="Y1128" s="6" t="s">
        <v>954</v>
      </c>
    </row>
    <row r="1129">
      <c r="Y1129" s="6" t="s">
        <v>954</v>
      </c>
    </row>
    <row r="1130">
      <c r="Y1130" s="6" t="s">
        <v>954</v>
      </c>
    </row>
    <row r="1131">
      <c r="Y1131" s="6" t="s">
        <v>954</v>
      </c>
    </row>
    <row r="1132">
      <c r="Y1132" s="6" t="s">
        <v>954</v>
      </c>
    </row>
    <row r="1133">
      <c r="Y1133" s="6" t="s">
        <v>954</v>
      </c>
    </row>
    <row r="1134">
      <c r="Y1134" s="6" t="s">
        <v>954</v>
      </c>
    </row>
    <row r="1135">
      <c r="Y1135" s="6" t="s">
        <v>954</v>
      </c>
    </row>
    <row r="1136">
      <c r="Y1136" s="6" t="s">
        <v>954</v>
      </c>
    </row>
    <row r="1137">
      <c r="Y1137" s="6" t="s">
        <v>954</v>
      </c>
    </row>
    <row r="1138">
      <c r="Y1138" s="6" t="s">
        <v>954</v>
      </c>
    </row>
    <row r="1139">
      <c r="Y1139" s="6" t="s">
        <v>954</v>
      </c>
    </row>
    <row r="1140">
      <c r="Y1140" s="6" t="s">
        <v>954</v>
      </c>
    </row>
    <row r="1141">
      <c r="Y1141" s="6" t="s">
        <v>954</v>
      </c>
    </row>
    <row r="1142">
      <c r="Y1142" s="6" t="s">
        <v>954</v>
      </c>
    </row>
    <row r="1143">
      <c r="Y1143" s="6" t="s">
        <v>954</v>
      </c>
    </row>
    <row r="1144">
      <c r="Y1144" s="6" t="s">
        <v>954</v>
      </c>
    </row>
    <row r="1145">
      <c r="Y1145" s="6" t="s">
        <v>954</v>
      </c>
    </row>
    <row r="1146">
      <c r="Y1146" s="6" t="s">
        <v>954</v>
      </c>
    </row>
    <row r="1147">
      <c r="Y1147" s="6" t="s">
        <v>954</v>
      </c>
    </row>
    <row r="1148">
      <c r="Y1148" s="6" t="s">
        <v>954</v>
      </c>
    </row>
    <row r="1149">
      <c r="Y1149" s="6" t="s">
        <v>954</v>
      </c>
    </row>
    <row r="1150">
      <c r="Y1150" s="6" t="s">
        <v>954</v>
      </c>
    </row>
    <row r="1151">
      <c r="Y1151" s="6" t="s">
        <v>954</v>
      </c>
    </row>
    <row r="1152">
      <c r="Y1152" s="6" t="s">
        <v>954</v>
      </c>
    </row>
    <row r="1153">
      <c r="Y1153" s="6" t="s">
        <v>954</v>
      </c>
    </row>
    <row r="1154">
      <c r="Y1154" s="6" t="s">
        <v>954</v>
      </c>
    </row>
    <row r="1155">
      <c r="Y1155" s="6" t="s">
        <v>954</v>
      </c>
    </row>
    <row r="1156">
      <c r="Y1156" s="6" t="s">
        <v>954</v>
      </c>
    </row>
    <row r="1157">
      <c r="Y1157" s="6" t="s">
        <v>954</v>
      </c>
    </row>
    <row r="1158">
      <c r="Y1158" s="6" t="s">
        <v>954</v>
      </c>
    </row>
    <row r="1159">
      <c r="Y1159" s="6" t="s">
        <v>954</v>
      </c>
    </row>
    <row r="1160">
      <c r="Y1160" s="6" t="s">
        <v>954</v>
      </c>
    </row>
    <row r="1161">
      <c r="Y1161" s="6" t="s">
        <v>954</v>
      </c>
    </row>
    <row r="1162">
      <c r="Y1162" s="6" t="s">
        <v>954</v>
      </c>
    </row>
    <row r="1163">
      <c r="Y1163" s="6" t="s">
        <v>954</v>
      </c>
    </row>
    <row r="1164">
      <c r="Y1164" s="6" t="s">
        <v>954</v>
      </c>
    </row>
    <row r="1165">
      <c r="Y1165" s="6" t="s">
        <v>954</v>
      </c>
    </row>
    <row r="1166">
      <c r="Y1166" s="6" t="s">
        <v>954</v>
      </c>
    </row>
    <row r="1167">
      <c r="Y1167" s="6" t="s">
        <v>954</v>
      </c>
    </row>
    <row r="1168">
      <c r="Y1168" s="6" t="s">
        <v>954</v>
      </c>
    </row>
    <row r="1169">
      <c r="Y1169" s="6" t="s">
        <v>954</v>
      </c>
    </row>
    <row r="1170">
      <c r="Y1170" s="6" t="s">
        <v>954</v>
      </c>
    </row>
    <row r="1171">
      <c r="Y1171" s="6" t="s">
        <v>954</v>
      </c>
    </row>
    <row r="1172">
      <c r="Y1172" s="6" t="s">
        <v>954</v>
      </c>
    </row>
    <row r="1173">
      <c r="Y1173" s="6" t="s">
        <v>954</v>
      </c>
    </row>
    <row r="1174">
      <c r="Y1174" s="6" t="s">
        <v>954</v>
      </c>
    </row>
    <row r="1175">
      <c r="Y1175" s="6" t="s">
        <v>954</v>
      </c>
    </row>
    <row r="1176">
      <c r="Y1176" s="6" t="s">
        <v>954</v>
      </c>
    </row>
    <row r="1177">
      <c r="Y1177" s="6" t="s">
        <v>954</v>
      </c>
    </row>
    <row r="1178">
      <c r="Y1178" s="6" t="s">
        <v>954</v>
      </c>
    </row>
    <row r="1179">
      <c r="Y1179" s="6" t="s">
        <v>954</v>
      </c>
    </row>
    <row r="1180">
      <c r="Y1180" s="6" t="s">
        <v>954</v>
      </c>
    </row>
    <row r="1181">
      <c r="Y1181" s="6" t="s">
        <v>954</v>
      </c>
    </row>
    <row r="1182">
      <c r="Y1182" s="6" t="s">
        <v>954</v>
      </c>
    </row>
    <row r="1183">
      <c r="Y1183" s="6" t="s">
        <v>954</v>
      </c>
    </row>
    <row r="1184">
      <c r="Y1184" s="6" t="s">
        <v>954</v>
      </c>
    </row>
    <row r="1185">
      <c r="Y1185" s="6" t="s">
        <v>954</v>
      </c>
    </row>
    <row r="1186">
      <c r="Y1186" s="6" t="s">
        <v>954</v>
      </c>
    </row>
    <row r="1187">
      <c r="Y1187" s="6" t="s">
        <v>954</v>
      </c>
    </row>
    <row r="1188">
      <c r="Y1188" s="6" t="s">
        <v>954</v>
      </c>
    </row>
    <row r="1189">
      <c r="Y1189" s="6" t="s">
        <v>954</v>
      </c>
    </row>
    <row r="1190">
      <c r="Y1190" s="6" t="s">
        <v>954</v>
      </c>
    </row>
    <row r="1191">
      <c r="Y1191" s="6" t="s">
        <v>954</v>
      </c>
    </row>
    <row r="1192">
      <c r="Y1192" s="6" t="s">
        <v>954</v>
      </c>
    </row>
    <row r="1193">
      <c r="Y1193" s="6" t="s">
        <v>954</v>
      </c>
    </row>
    <row r="1194">
      <c r="Y1194" s="6" t="s">
        <v>954</v>
      </c>
    </row>
    <row r="1195">
      <c r="Y1195" s="6" t="s">
        <v>954</v>
      </c>
    </row>
    <row r="1196">
      <c r="Y1196" s="6" t="s">
        <v>954</v>
      </c>
    </row>
    <row r="1197">
      <c r="Y1197" s="6" t="s">
        <v>954</v>
      </c>
    </row>
    <row r="1198">
      <c r="Y1198" s="6" t="s">
        <v>954</v>
      </c>
    </row>
    <row r="1199">
      <c r="Y1199" s="6" t="s">
        <v>954</v>
      </c>
    </row>
    <row r="1200">
      <c r="Y1200" s="6" t="s">
        <v>954</v>
      </c>
    </row>
    <row r="1201">
      <c r="Y1201" s="6" t="s">
        <v>954</v>
      </c>
    </row>
    <row r="1202">
      <c r="Y1202" s="6" t="s">
        <v>954</v>
      </c>
    </row>
    <row r="1203">
      <c r="Y1203" s="6" t="s">
        <v>954</v>
      </c>
    </row>
    <row r="1204">
      <c r="Y1204" s="6" t="s">
        <v>954</v>
      </c>
    </row>
    <row r="1205">
      <c r="Y1205" s="6" t="s">
        <v>954</v>
      </c>
    </row>
    <row r="1206">
      <c r="Y1206" s="6" t="s">
        <v>954</v>
      </c>
    </row>
    <row r="1207">
      <c r="Y1207" s="6" t="s">
        <v>954</v>
      </c>
    </row>
    <row r="1208">
      <c r="Y1208" s="6" t="s">
        <v>954</v>
      </c>
    </row>
    <row r="1209">
      <c r="Y1209" s="6" t="s">
        <v>954</v>
      </c>
    </row>
    <row r="1210">
      <c r="Y1210" s="6" t="s">
        <v>954</v>
      </c>
    </row>
    <row r="1211">
      <c r="Y1211" s="6" t="s">
        <v>954</v>
      </c>
    </row>
    <row r="1212">
      <c r="Y1212" s="6" t="s">
        <v>954</v>
      </c>
    </row>
    <row r="1213">
      <c r="Y1213" s="6" t="s">
        <v>954</v>
      </c>
    </row>
    <row r="1214">
      <c r="Y1214" s="6" t="s">
        <v>954</v>
      </c>
    </row>
    <row r="1215">
      <c r="Y1215" s="6" t="s">
        <v>954</v>
      </c>
    </row>
    <row r="1216">
      <c r="Y1216" s="6" t="s">
        <v>954</v>
      </c>
    </row>
    <row r="1217">
      <c r="Y1217" s="6" t="s">
        <v>954</v>
      </c>
    </row>
    <row r="1218">
      <c r="Y1218" s="6" t="s">
        <v>954</v>
      </c>
    </row>
    <row r="1219">
      <c r="Y1219" s="6" t="s">
        <v>954</v>
      </c>
    </row>
    <row r="1220">
      <c r="Y1220" s="6" t="s">
        <v>954</v>
      </c>
    </row>
    <row r="1221">
      <c r="Y1221" s="6" t="s">
        <v>954</v>
      </c>
    </row>
    <row r="1222">
      <c r="Y1222" s="6" t="s">
        <v>954</v>
      </c>
    </row>
    <row r="1223">
      <c r="Y1223" s="6" t="s">
        <v>954</v>
      </c>
    </row>
    <row r="1224">
      <c r="Y1224" s="6" t="s">
        <v>954</v>
      </c>
    </row>
    <row r="1225">
      <c r="Y1225" s="6" t="s">
        <v>954</v>
      </c>
    </row>
    <row r="1226">
      <c r="Y1226" s="6" t="s">
        <v>954</v>
      </c>
    </row>
    <row r="1227">
      <c r="Y1227" s="6" t="s">
        <v>954</v>
      </c>
    </row>
    <row r="1228">
      <c r="Y1228" s="6" t="s">
        <v>954</v>
      </c>
    </row>
    <row r="1229">
      <c r="Y1229" s="6" t="s">
        <v>954</v>
      </c>
    </row>
    <row r="1230">
      <c r="Y1230" s="6" t="s">
        <v>954</v>
      </c>
    </row>
    <row r="1231">
      <c r="Y1231" s="6" t="s">
        <v>954</v>
      </c>
    </row>
    <row r="1232">
      <c r="Y1232" s="6" t="s">
        <v>954</v>
      </c>
    </row>
    <row r="1233">
      <c r="Y1233" s="6" t="s">
        <v>954</v>
      </c>
    </row>
    <row r="1234">
      <c r="Y1234" s="6" t="s">
        <v>954</v>
      </c>
    </row>
    <row r="1235">
      <c r="Y1235" s="6" t="s">
        <v>954</v>
      </c>
    </row>
    <row r="1236">
      <c r="Y1236" s="6" t="s">
        <v>954</v>
      </c>
    </row>
    <row r="1237">
      <c r="Y1237" s="6" t="s">
        <v>954</v>
      </c>
    </row>
    <row r="1238">
      <c r="Y1238" s="6" t="s">
        <v>954</v>
      </c>
    </row>
    <row r="1239">
      <c r="Y1239" s="6" t="s">
        <v>954</v>
      </c>
    </row>
    <row r="1240">
      <c r="Y1240" s="6" t="s">
        <v>954</v>
      </c>
    </row>
    <row r="1241">
      <c r="Y1241" s="6" t="s">
        <v>954</v>
      </c>
    </row>
    <row r="1242">
      <c r="Y1242" s="6" t="s">
        <v>954</v>
      </c>
    </row>
    <row r="1243">
      <c r="Y1243" s="6" t="s">
        <v>954</v>
      </c>
    </row>
    <row r="1244">
      <c r="Y1244" s="6" t="s">
        <v>954</v>
      </c>
    </row>
    <row r="1245">
      <c r="Y1245" s="6" t="s">
        <v>954</v>
      </c>
    </row>
    <row r="1246">
      <c r="Y1246" s="6" t="s">
        <v>954</v>
      </c>
    </row>
    <row r="1247">
      <c r="Y1247" s="6" t="s">
        <v>954</v>
      </c>
    </row>
    <row r="1248">
      <c r="Y1248" s="6" t="s">
        <v>954</v>
      </c>
    </row>
    <row r="1249">
      <c r="Y1249" s="6" t="s">
        <v>954</v>
      </c>
    </row>
    <row r="1250">
      <c r="Y1250" s="6" t="s">
        <v>954</v>
      </c>
    </row>
    <row r="1251">
      <c r="Y1251" s="6" t="s">
        <v>954</v>
      </c>
    </row>
    <row r="1252">
      <c r="Y1252" s="6" t="s">
        <v>954</v>
      </c>
    </row>
    <row r="1253">
      <c r="Y1253" s="6" t="s">
        <v>954</v>
      </c>
    </row>
    <row r="1254">
      <c r="Y1254" s="6" t="s">
        <v>954</v>
      </c>
    </row>
    <row r="1255">
      <c r="Y1255" s="6" t="s">
        <v>954</v>
      </c>
    </row>
    <row r="1256">
      <c r="Y1256" s="6" t="s">
        <v>954</v>
      </c>
    </row>
    <row r="1257">
      <c r="Y1257" s="6" t="s">
        <v>954</v>
      </c>
    </row>
    <row r="1258">
      <c r="Y1258" s="6" t="s">
        <v>954</v>
      </c>
    </row>
    <row r="1259">
      <c r="Y1259" s="6" t="s">
        <v>954</v>
      </c>
    </row>
    <row r="1260">
      <c r="Y1260" s="6" t="s">
        <v>954</v>
      </c>
    </row>
    <row r="1261">
      <c r="Y1261" s="6" t="s">
        <v>954</v>
      </c>
    </row>
    <row r="1262">
      <c r="Y1262" s="6" t="s">
        <v>954</v>
      </c>
    </row>
    <row r="1263">
      <c r="Y1263" s="6" t="s">
        <v>954</v>
      </c>
    </row>
    <row r="1264">
      <c r="Y1264" s="6" t="s">
        <v>954</v>
      </c>
    </row>
    <row r="1265">
      <c r="Y1265" s="6" t="s">
        <v>954</v>
      </c>
    </row>
    <row r="1266">
      <c r="Y1266" s="6" t="s">
        <v>954</v>
      </c>
    </row>
    <row r="1267">
      <c r="Y1267" s="6" t="s">
        <v>954</v>
      </c>
    </row>
    <row r="1268">
      <c r="Y1268" s="6" t="s">
        <v>954</v>
      </c>
    </row>
    <row r="1269">
      <c r="Y1269" s="6" t="s">
        <v>954</v>
      </c>
    </row>
    <row r="1270">
      <c r="Y1270" s="6" t="s">
        <v>954</v>
      </c>
    </row>
    <row r="1271">
      <c r="Y1271" s="6" t="s">
        <v>954</v>
      </c>
    </row>
    <row r="1272">
      <c r="Y1272" s="6" t="s">
        <v>954</v>
      </c>
    </row>
    <row r="1273">
      <c r="Y1273" s="6" t="s">
        <v>954</v>
      </c>
    </row>
    <row r="1274">
      <c r="Y1274" s="6" t="s">
        <v>954</v>
      </c>
    </row>
    <row r="1275">
      <c r="Y1275" s="6" t="s">
        <v>954</v>
      </c>
    </row>
    <row r="1276">
      <c r="Y1276" s="6" t="s">
        <v>954</v>
      </c>
    </row>
    <row r="1277">
      <c r="Y1277" s="6" t="s">
        <v>954</v>
      </c>
    </row>
    <row r="1278">
      <c r="Y1278" s="6" t="s">
        <v>954</v>
      </c>
    </row>
    <row r="1279">
      <c r="Y1279" s="6" t="s">
        <v>954</v>
      </c>
    </row>
    <row r="1280">
      <c r="Y1280" s="6" t="s">
        <v>954</v>
      </c>
    </row>
    <row r="1281">
      <c r="Y1281" s="6" t="s">
        <v>954</v>
      </c>
    </row>
    <row r="1282">
      <c r="Y1282" s="6" t="s">
        <v>954</v>
      </c>
    </row>
    <row r="1283">
      <c r="Y1283" s="6" t="s">
        <v>954</v>
      </c>
    </row>
    <row r="1284">
      <c r="Y1284" s="6" t="s">
        <v>954</v>
      </c>
    </row>
    <row r="1285">
      <c r="Y1285" s="6" t="s">
        <v>954</v>
      </c>
    </row>
    <row r="1286">
      <c r="Y1286" s="6" t="s">
        <v>954</v>
      </c>
    </row>
    <row r="1287">
      <c r="Y1287" s="6" t="s">
        <v>954</v>
      </c>
    </row>
    <row r="1288">
      <c r="Y1288" s="6" t="s">
        <v>954</v>
      </c>
    </row>
    <row r="1289">
      <c r="Y1289" s="6" t="s">
        <v>954</v>
      </c>
    </row>
    <row r="1290">
      <c r="Y1290" s="6" t="s">
        <v>954</v>
      </c>
    </row>
    <row r="1291">
      <c r="Y1291" s="6" t="s">
        <v>954</v>
      </c>
    </row>
    <row r="1292">
      <c r="Y1292" s="6" t="s">
        <v>954</v>
      </c>
    </row>
    <row r="1293">
      <c r="Y1293" s="6" t="s">
        <v>954</v>
      </c>
    </row>
    <row r="1294">
      <c r="Y1294" s="6" t="s">
        <v>954</v>
      </c>
    </row>
    <row r="1295">
      <c r="Y1295" s="6" t="s">
        <v>954</v>
      </c>
    </row>
    <row r="1296">
      <c r="Y1296" s="6" t="s">
        <v>954</v>
      </c>
    </row>
    <row r="1297">
      <c r="Y1297" s="6" t="s">
        <v>954</v>
      </c>
    </row>
    <row r="1298">
      <c r="Y1298" s="6" t="s">
        <v>954</v>
      </c>
    </row>
    <row r="1299">
      <c r="Y1299" s="6" t="s">
        <v>954</v>
      </c>
    </row>
    <row r="1300">
      <c r="Y1300" s="6" t="s">
        <v>954</v>
      </c>
    </row>
    <row r="1301">
      <c r="Y1301" s="6" t="s">
        <v>954</v>
      </c>
    </row>
    <row r="1302">
      <c r="Y1302" s="6" t="s">
        <v>954</v>
      </c>
    </row>
    <row r="1303">
      <c r="Y1303" s="6" t="s">
        <v>954</v>
      </c>
    </row>
    <row r="1304">
      <c r="Y1304" s="6" t="s">
        <v>954</v>
      </c>
    </row>
    <row r="1305">
      <c r="Y1305" s="6" t="s">
        <v>954</v>
      </c>
    </row>
    <row r="1306">
      <c r="Y1306" s="6" t="s">
        <v>954</v>
      </c>
    </row>
    <row r="1307">
      <c r="Y1307" s="6" t="s">
        <v>954</v>
      </c>
    </row>
    <row r="1308">
      <c r="Y1308" s="6" t="s">
        <v>954</v>
      </c>
    </row>
    <row r="1309">
      <c r="Y1309" s="6" t="s">
        <v>954</v>
      </c>
    </row>
    <row r="1310">
      <c r="Y1310" s="6" t="s">
        <v>954</v>
      </c>
    </row>
    <row r="1311">
      <c r="Y1311" s="6" t="s">
        <v>954</v>
      </c>
    </row>
    <row r="1312">
      <c r="Y1312" s="6" t="s">
        <v>954</v>
      </c>
    </row>
    <row r="1313">
      <c r="Y1313" s="6" t="s">
        <v>954</v>
      </c>
    </row>
    <row r="1314">
      <c r="Y1314" s="6" t="s">
        <v>954</v>
      </c>
    </row>
    <row r="1315">
      <c r="Y1315" s="6" t="s">
        <v>954</v>
      </c>
    </row>
    <row r="1316">
      <c r="Y1316" s="6" t="s">
        <v>954</v>
      </c>
    </row>
    <row r="1317">
      <c r="Y1317" s="6" t="s">
        <v>954</v>
      </c>
    </row>
    <row r="1318">
      <c r="Y1318" s="6" t="s">
        <v>954</v>
      </c>
    </row>
    <row r="1319">
      <c r="Y1319" s="6" t="s">
        <v>954</v>
      </c>
    </row>
    <row r="1320">
      <c r="Y1320" s="6" t="s">
        <v>954</v>
      </c>
    </row>
    <row r="1321">
      <c r="Y1321" s="6" t="s">
        <v>954</v>
      </c>
    </row>
    <row r="1322">
      <c r="Y1322" s="6" t="s">
        <v>954</v>
      </c>
    </row>
    <row r="1323">
      <c r="Y1323" s="6" t="s">
        <v>954</v>
      </c>
    </row>
    <row r="1324">
      <c r="Y1324" s="6" t="s">
        <v>954</v>
      </c>
    </row>
    <row r="1325">
      <c r="Y1325" s="6" t="s">
        <v>954</v>
      </c>
    </row>
    <row r="1326">
      <c r="Y1326" s="6" t="s">
        <v>954</v>
      </c>
    </row>
    <row r="1327">
      <c r="Y1327" s="6" t="s">
        <v>954</v>
      </c>
    </row>
    <row r="1328">
      <c r="Y1328" s="6" t="s">
        <v>954</v>
      </c>
    </row>
    <row r="1329">
      <c r="Y1329" s="6" t="s">
        <v>954</v>
      </c>
    </row>
    <row r="1330">
      <c r="Y1330" s="6" t="s">
        <v>954</v>
      </c>
    </row>
    <row r="1331">
      <c r="Y1331" s="6" t="s">
        <v>954</v>
      </c>
    </row>
    <row r="1332">
      <c r="Y1332" s="6" t="s">
        <v>954</v>
      </c>
    </row>
    <row r="1333">
      <c r="Y1333" s="6" t="s">
        <v>954</v>
      </c>
    </row>
    <row r="1334">
      <c r="Y1334" s="6" t="s">
        <v>954</v>
      </c>
    </row>
    <row r="1335">
      <c r="Y1335" s="6" t="s">
        <v>954</v>
      </c>
    </row>
    <row r="1336">
      <c r="Y1336" s="6" t="s">
        <v>954</v>
      </c>
    </row>
    <row r="1337">
      <c r="Y1337" s="6" t="s">
        <v>954</v>
      </c>
    </row>
    <row r="1338">
      <c r="Y1338" s="6" t="s">
        <v>954</v>
      </c>
    </row>
    <row r="1339">
      <c r="Y1339" s="6" t="s">
        <v>954</v>
      </c>
    </row>
    <row r="1340">
      <c r="Y1340" s="6" t="s">
        <v>954</v>
      </c>
    </row>
    <row r="1341">
      <c r="Y1341" s="6" t="s">
        <v>954</v>
      </c>
    </row>
    <row r="1342">
      <c r="Y1342" s="6" t="s">
        <v>954</v>
      </c>
    </row>
    <row r="1343">
      <c r="Y1343" s="6" t="s">
        <v>954</v>
      </c>
    </row>
    <row r="1344">
      <c r="Y1344" s="6" t="s">
        <v>954</v>
      </c>
    </row>
    <row r="1345">
      <c r="Y1345" s="6" t="s">
        <v>954</v>
      </c>
    </row>
    <row r="1346">
      <c r="Y1346" s="6" t="s">
        <v>954</v>
      </c>
    </row>
    <row r="1347">
      <c r="Y1347" s="6" t="s">
        <v>954</v>
      </c>
    </row>
    <row r="1348">
      <c r="Y1348" s="6" t="s">
        <v>954</v>
      </c>
    </row>
    <row r="1349">
      <c r="Y1349" s="6" t="s">
        <v>954</v>
      </c>
    </row>
    <row r="1350">
      <c r="Y1350" s="6" t="s">
        <v>954</v>
      </c>
    </row>
    <row r="1351">
      <c r="Y1351" s="6" t="s">
        <v>954</v>
      </c>
    </row>
    <row r="1352">
      <c r="Y1352" s="6" t="s">
        <v>954</v>
      </c>
    </row>
    <row r="1353">
      <c r="Y1353" s="6" t="s">
        <v>954</v>
      </c>
    </row>
    <row r="1354">
      <c r="Y1354" s="6" t="s">
        <v>954</v>
      </c>
    </row>
    <row r="1355">
      <c r="Y1355" s="6" t="s">
        <v>954</v>
      </c>
    </row>
    <row r="1356">
      <c r="Y1356" s="6" t="s">
        <v>954</v>
      </c>
    </row>
    <row r="1357">
      <c r="Y1357" s="6" t="s">
        <v>954</v>
      </c>
    </row>
    <row r="1358">
      <c r="Y1358" s="6" t="s">
        <v>954</v>
      </c>
    </row>
    <row r="1359">
      <c r="Y1359" s="6" t="s">
        <v>954</v>
      </c>
    </row>
    <row r="1360">
      <c r="Y1360" s="6" t="s">
        <v>954</v>
      </c>
    </row>
    <row r="1361">
      <c r="Y1361" s="6" t="s">
        <v>954</v>
      </c>
    </row>
    <row r="1362">
      <c r="Y1362" s="6" t="s">
        <v>954</v>
      </c>
    </row>
    <row r="1363">
      <c r="Y1363" s="6" t="s">
        <v>954</v>
      </c>
    </row>
    <row r="1364">
      <c r="Y1364" s="6" t="s">
        <v>954</v>
      </c>
    </row>
    <row r="1365">
      <c r="Y1365" s="6" t="s">
        <v>954</v>
      </c>
    </row>
    <row r="1366">
      <c r="Y1366" s="6" t="s">
        <v>954</v>
      </c>
    </row>
    <row r="1367">
      <c r="Y1367" s="6" t="s">
        <v>954</v>
      </c>
    </row>
    <row r="1368">
      <c r="Y1368" s="6" t="s">
        <v>954</v>
      </c>
    </row>
    <row r="1369">
      <c r="Y1369" s="6" t="s">
        <v>954</v>
      </c>
    </row>
    <row r="1370">
      <c r="Y1370" s="6" t="s">
        <v>954</v>
      </c>
    </row>
    <row r="1371">
      <c r="Y1371" s="6" t="s">
        <v>954</v>
      </c>
    </row>
    <row r="1372">
      <c r="Y1372" s="6" t="s">
        <v>954</v>
      </c>
    </row>
    <row r="1373">
      <c r="Y1373" s="6" t="s">
        <v>954</v>
      </c>
    </row>
    <row r="1374">
      <c r="Y1374" s="6" t="s">
        <v>954</v>
      </c>
    </row>
    <row r="1375">
      <c r="Y1375" s="6" t="s">
        <v>954</v>
      </c>
    </row>
    <row r="1376">
      <c r="Y1376" s="6" t="s">
        <v>954</v>
      </c>
    </row>
    <row r="1377">
      <c r="Y1377" s="6" t="s">
        <v>954</v>
      </c>
    </row>
    <row r="1378">
      <c r="Y1378" s="6" t="s">
        <v>954</v>
      </c>
    </row>
    <row r="1379">
      <c r="Y1379" s="6" t="s">
        <v>954</v>
      </c>
    </row>
    <row r="1380">
      <c r="Y1380" s="6" t="s">
        <v>954</v>
      </c>
    </row>
    <row r="1381">
      <c r="Y1381" s="6" t="s">
        <v>954</v>
      </c>
    </row>
    <row r="1382">
      <c r="Y1382" s="6" t="s">
        <v>954</v>
      </c>
    </row>
    <row r="1383">
      <c r="Y1383" s="6" t="s">
        <v>954</v>
      </c>
    </row>
    <row r="1384">
      <c r="Y1384" s="6" t="s">
        <v>954</v>
      </c>
    </row>
    <row r="1385">
      <c r="Y1385" s="6" t="s">
        <v>954</v>
      </c>
    </row>
    <row r="1386">
      <c r="Y1386" s="6" t="s">
        <v>954</v>
      </c>
    </row>
    <row r="1387">
      <c r="Y1387" s="6" t="s">
        <v>954</v>
      </c>
    </row>
    <row r="1388">
      <c r="Y1388" s="6" t="s">
        <v>954</v>
      </c>
    </row>
    <row r="1389">
      <c r="Y1389" s="6" t="s">
        <v>954</v>
      </c>
    </row>
    <row r="1390">
      <c r="Y1390" s="6" t="s">
        <v>954</v>
      </c>
    </row>
    <row r="1391">
      <c r="Y1391" s="6" t="s">
        <v>954</v>
      </c>
    </row>
    <row r="1392">
      <c r="Y1392" s="6" t="s">
        <v>954</v>
      </c>
    </row>
    <row r="1393">
      <c r="Y1393" s="6" t="s">
        <v>954</v>
      </c>
    </row>
    <row r="1394">
      <c r="Y1394" s="6" t="s">
        <v>954</v>
      </c>
    </row>
    <row r="1395">
      <c r="Y1395" s="6" t="s">
        <v>954</v>
      </c>
    </row>
    <row r="1396">
      <c r="Y1396" s="6" t="s">
        <v>954</v>
      </c>
    </row>
    <row r="1397">
      <c r="Y1397" s="6" t="s">
        <v>954</v>
      </c>
    </row>
    <row r="1398">
      <c r="Y1398" s="6" t="s">
        <v>954</v>
      </c>
    </row>
    <row r="1399">
      <c r="Y1399" s="6" t="s">
        <v>954</v>
      </c>
    </row>
    <row r="1400">
      <c r="Y1400" s="6" t="s">
        <v>954</v>
      </c>
    </row>
    <row r="1401">
      <c r="Y1401" s="6" t="s">
        <v>954</v>
      </c>
    </row>
    <row r="1402">
      <c r="Y1402" s="6" t="s">
        <v>954</v>
      </c>
    </row>
    <row r="1403">
      <c r="Y1403" s="6" t="s">
        <v>954</v>
      </c>
    </row>
    <row r="1404">
      <c r="Y1404" s="6" t="s">
        <v>954</v>
      </c>
    </row>
    <row r="1405">
      <c r="Y1405" s="6" t="s">
        <v>954</v>
      </c>
    </row>
    <row r="1406">
      <c r="Y1406" s="6" t="s">
        <v>954</v>
      </c>
    </row>
    <row r="1407">
      <c r="Y1407" s="6" t="s">
        <v>954</v>
      </c>
    </row>
    <row r="1408">
      <c r="Y1408" s="6" t="s">
        <v>954</v>
      </c>
    </row>
    <row r="1409">
      <c r="Y1409" s="6" t="s">
        <v>954</v>
      </c>
    </row>
    <row r="1410">
      <c r="Y1410" s="6" t="s">
        <v>954</v>
      </c>
    </row>
    <row r="1411">
      <c r="Y1411" s="6" t="s">
        <v>954</v>
      </c>
    </row>
    <row r="1412">
      <c r="Y1412" s="6" t="s">
        <v>954</v>
      </c>
    </row>
    <row r="1413">
      <c r="Y1413" s="6" t="s">
        <v>954</v>
      </c>
    </row>
    <row r="1414">
      <c r="Y1414" s="6" t="s">
        <v>954</v>
      </c>
    </row>
    <row r="1415">
      <c r="Y1415" s="6" t="s">
        <v>954</v>
      </c>
    </row>
    <row r="1416">
      <c r="Y1416" s="6" t="s">
        <v>954</v>
      </c>
    </row>
    <row r="1417">
      <c r="Y1417" s="6" t="s">
        <v>954</v>
      </c>
    </row>
    <row r="1418">
      <c r="Y1418" s="6" t="s">
        <v>954</v>
      </c>
    </row>
    <row r="1419">
      <c r="Y1419" s="6" t="s">
        <v>954</v>
      </c>
    </row>
    <row r="1420">
      <c r="Y1420" s="6" t="s">
        <v>954</v>
      </c>
    </row>
    <row r="1421">
      <c r="Y1421" s="6" t="s">
        <v>954</v>
      </c>
    </row>
    <row r="1422">
      <c r="Y1422" s="6" t="s">
        <v>954</v>
      </c>
    </row>
    <row r="1423">
      <c r="Y1423" s="6" t="s">
        <v>954</v>
      </c>
    </row>
    <row r="1424">
      <c r="Y1424" s="6" t="s">
        <v>954</v>
      </c>
    </row>
    <row r="1425">
      <c r="Y1425" s="6" t="s">
        <v>954</v>
      </c>
    </row>
    <row r="1426">
      <c r="Y1426" s="6" t="s">
        <v>954</v>
      </c>
    </row>
    <row r="1427">
      <c r="Y1427" s="6" t="s">
        <v>954</v>
      </c>
    </row>
    <row r="1428">
      <c r="Y1428" s="6" t="s">
        <v>954</v>
      </c>
    </row>
    <row r="1429">
      <c r="Y1429" s="6" t="s">
        <v>954</v>
      </c>
    </row>
    <row r="1430">
      <c r="Y1430" s="6" t="s">
        <v>954</v>
      </c>
    </row>
    <row r="1431">
      <c r="Y1431" s="6" t="s">
        <v>954</v>
      </c>
    </row>
    <row r="1432">
      <c r="Y1432" s="6" t="s">
        <v>954</v>
      </c>
    </row>
    <row r="1433">
      <c r="Y1433" s="6" t="s">
        <v>954</v>
      </c>
    </row>
    <row r="1434">
      <c r="Y1434" s="6" t="s">
        <v>954</v>
      </c>
    </row>
    <row r="1435">
      <c r="Y1435" s="6" t="s">
        <v>954</v>
      </c>
    </row>
    <row r="1436">
      <c r="Y1436" s="6" t="s">
        <v>954</v>
      </c>
    </row>
    <row r="1437">
      <c r="Y1437" s="6" t="s">
        <v>954</v>
      </c>
    </row>
    <row r="1438">
      <c r="Y1438" s="6" t="s">
        <v>954</v>
      </c>
    </row>
    <row r="1439">
      <c r="Y1439" s="6" t="s">
        <v>954</v>
      </c>
    </row>
    <row r="1440">
      <c r="Y1440" s="6" t="s">
        <v>954</v>
      </c>
    </row>
    <row r="1441">
      <c r="Y1441" s="6" t="s">
        <v>954</v>
      </c>
    </row>
    <row r="1442">
      <c r="Y1442" s="6" t="s">
        <v>954</v>
      </c>
    </row>
    <row r="1443">
      <c r="Y1443" s="6" t="s">
        <v>954</v>
      </c>
    </row>
    <row r="1444">
      <c r="Y1444" s="6" t="s">
        <v>954</v>
      </c>
    </row>
    <row r="1445">
      <c r="Y1445" s="6" t="s">
        <v>954</v>
      </c>
    </row>
    <row r="1446">
      <c r="Y1446" s="6" t="s">
        <v>954</v>
      </c>
    </row>
    <row r="1447">
      <c r="Y1447" s="6" t="s">
        <v>954</v>
      </c>
    </row>
    <row r="1448">
      <c r="Y1448" s="6" t="s">
        <v>954</v>
      </c>
    </row>
    <row r="1449">
      <c r="Y1449" s="6" t="s">
        <v>954</v>
      </c>
    </row>
    <row r="1450">
      <c r="Y1450" s="6" t="s">
        <v>954</v>
      </c>
    </row>
    <row r="1451">
      <c r="Y1451" s="6" t="s">
        <v>954</v>
      </c>
    </row>
    <row r="1452">
      <c r="Y1452" s="6" t="s">
        <v>954</v>
      </c>
    </row>
    <row r="1453">
      <c r="Y1453" s="6" t="s">
        <v>954</v>
      </c>
    </row>
    <row r="1454">
      <c r="Y1454" s="6" t="s">
        <v>954</v>
      </c>
    </row>
    <row r="1455">
      <c r="Y1455" s="6" t="s">
        <v>954</v>
      </c>
    </row>
    <row r="1456">
      <c r="Y1456" s="6" t="s">
        <v>954</v>
      </c>
    </row>
    <row r="1457">
      <c r="Y1457" s="6" t="s">
        <v>954</v>
      </c>
    </row>
    <row r="1458">
      <c r="Y1458" s="6" t="s">
        <v>954</v>
      </c>
    </row>
    <row r="1459">
      <c r="Y1459" s="6" t="s">
        <v>954</v>
      </c>
    </row>
    <row r="1460">
      <c r="Y1460" s="6" t="s">
        <v>954</v>
      </c>
    </row>
    <row r="1461">
      <c r="Y1461" s="6" t="s">
        <v>954</v>
      </c>
    </row>
    <row r="1462">
      <c r="Y1462" s="6" t="s">
        <v>954</v>
      </c>
    </row>
    <row r="1463">
      <c r="Y1463" s="6" t="s">
        <v>954</v>
      </c>
    </row>
    <row r="1464">
      <c r="Y1464" s="6" t="s">
        <v>954</v>
      </c>
    </row>
    <row r="1465">
      <c r="Y1465" s="6" t="s">
        <v>954</v>
      </c>
    </row>
    <row r="1466">
      <c r="Y1466" s="6" t="s">
        <v>954</v>
      </c>
    </row>
    <row r="1467">
      <c r="Y1467" s="6" t="s">
        <v>954</v>
      </c>
    </row>
    <row r="1468">
      <c r="Y1468" s="6" t="s">
        <v>954</v>
      </c>
    </row>
    <row r="1469">
      <c r="Y1469" s="6" t="s">
        <v>954</v>
      </c>
    </row>
    <row r="1470">
      <c r="Y1470" s="6" t="s">
        <v>954</v>
      </c>
    </row>
    <row r="1471">
      <c r="Y1471" s="6" t="s">
        <v>954</v>
      </c>
    </row>
    <row r="1472">
      <c r="Y1472" s="6" t="s">
        <v>954</v>
      </c>
    </row>
    <row r="1473">
      <c r="Y1473" s="6" t="s">
        <v>954</v>
      </c>
    </row>
    <row r="1474">
      <c r="Y1474" s="6" t="s">
        <v>954</v>
      </c>
    </row>
    <row r="1475">
      <c r="Y1475" s="6" t="s">
        <v>954</v>
      </c>
    </row>
    <row r="1476">
      <c r="Y1476" s="6" t="s">
        <v>954</v>
      </c>
    </row>
    <row r="1477">
      <c r="Y1477" s="6" t="s">
        <v>954</v>
      </c>
    </row>
    <row r="1478">
      <c r="Y1478" s="6" t="s">
        <v>954</v>
      </c>
    </row>
    <row r="1479">
      <c r="Y1479" s="6" t="s">
        <v>954</v>
      </c>
    </row>
    <row r="1480">
      <c r="Y1480" s="6" t="s">
        <v>954</v>
      </c>
    </row>
    <row r="1481">
      <c r="Y1481" s="6" t="s">
        <v>954</v>
      </c>
    </row>
    <row r="1482">
      <c r="Y1482" s="6" t="s">
        <v>954</v>
      </c>
    </row>
    <row r="1483">
      <c r="Y1483" s="6" t="s">
        <v>954</v>
      </c>
    </row>
    <row r="1484">
      <c r="Y1484" s="6" t="s">
        <v>954</v>
      </c>
    </row>
    <row r="1485">
      <c r="Y1485" s="6" t="s">
        <v>954</v>
      </c>
    </row>
    <row r="1486">
      <c r="Y1486" s="6" t="s">
        <v>954</v>
      </c>
    </row>
    <row r="1487">
      <c r="Y1487" s="6" t="s">
        <v>954</v>
      </c>
    </row>
    <row r="1488">
      <c r="Y1488" s="6" t="s">
        <v>954</v>
      </c>
    </row>
    <row r="1489">
      <c r="Y1489" s="6" t="s">
        <v>954</v>
      </c>
    </row>
    <row r="1490">
      <c r="Y1490" s="6" t="s">
        <v>954</v>
      </c>
    </row>
    <row r="1491">
      <c r="Y1491" s="6" t="s">
        <v>954</v>
      </c>
    </row>
    <row r="1492">
      <c r="Y1492" s="6" t="s">
        <v>954</v>
      </c>
    </row>
    <row r="1493">
      <c r="Y1493" s="6" t="s">
        <v>954</v>
      </c>
    </row>
    <row r="1494">
      <c r="Y1494" s="6" t="s">
        <v>954</v>
      </c>
    </row>
    <row r="1495">
      <c r="Y1495" s="6" t="s">
        <v>954</v>
      </c>
    </row>
    <row r="1496">
      <c r="Y1496" s="6" t="s">
        <v>954</v>
      </c>
    </row>
    <row r="1497">
      <c r="Y1497" s="6" t="s">
        <v>954</v>
      </c>
    </row>
    <row r="1498">
      <c r="Y1498" s="6" t="s">
        <v>954</v>
      </c>
    </row>
    <row r="1499">
      <c r="Y1499" s="6" t="s">
        <v>954</v>
      </c>
    </row>
    <row r="1500">
      <c r="Y1500" s="6" t="s">
        <v>954</v>
      </c>
    </row>
    <row r="1501">
      <c r="Y1501" s="6" t="s">
        <v>954</v>
      </c>
    </row>
    <row r="1502">
      <c r="Y1502" s="6" t="s">
        <v>954</v>
      </c>
    </row>
    <row r="1503">
      <c r="Y1503" s="6" t="s">
        <v>954</v>
      </c>
    </row>
    <row r="1504">
      <c r="Y1504" s="6" t="s">
        <v>954</v>
      </c>
    </row>
    <row r="1505">
      <c r="Y1505" s="6" t="s">
        <v>954</v>
      </c>
    </row>
    <row r="1506">
      <c r="Y1506" s="6" t="s">
        <v>954</v>
      </c>
    </row>
    <row r="1507">
      <c r="Y1507" s="6" t="s">
        <v>954</v>
      </c>
    </row>
    <row r="1508">
      <c r="Y1508" s="6" t="s">
        <v>954</v>
      </c>
    </row>
    <row r="1509">
      <c r="Y1509" s="6" t="s">
        <v>954</v>
      </c>
    </row>
    <row r="1510">
      <c r="Y1510" s="6" t="s">
        <v>954</v>
      </c>
    </row>
    <row r="1511">
      <c r="Y1511" s="6" t="s">
        <v>954</v>
      </c>
    </row>
    <row r="1512">
      <c r="Y1512" s="6" t="s">
        <v>954</v>
      </c>
    </row>
    <row r="1513">
      <c r="Y1513" s="6" t="s">
        <v>954</v>
      </c>
    </row>
    <row r="1514">
      <c r="Y1514" s="6" t="s">
        <v>954</v>
      </c>
    </row>
    <row r="1515">
      <c r="Y1515" s="6" t="s">
        <v>954</v>
      </c>
    </row>
    <row r="1516">
      <c r="Y1516" s="6" t="s">
        <v>954</v>
      </c>
    </row>
    <row r="1517">
      <c r="Y1517" s="6" t="s">
        <v>954</v>
      </c>
    </row>
    <row r="1518">
      <c r="Y1518" s="6" t="s">
        <v>954</v>
      </c>
    </row>
    <row r="1519">
      <c r="Y1519" s="6" t="s">
        <v>954</v>
      </c>
    </row>
    <row r="1520">
      <c r="Y1520" s="6" t="s">
        <v>954</v>
      </c>
    </row>
    <row r="1521">
      <c r="Y1521" s="6" t="s">
        <v>954</v>
      </c>
    </row>
    <row r="1522">
      <c r="Y1522" s="6" t="s">
        <v>954</v>
      </c>
    </row>
    <row r="1523">
      <c r="Y1523" s="6" t="s">
        <v>954</v>
      </c>
    </row>
    <row r="1524">
      <c r="Y1524" s="6" t="s">
        <v>954</v>
      </c>
    </row>
    <row r="1525">
      <c r="Y1525" s="6" t="s">
        <v>954</v>
      </c>
    </row>
    <row r="1526">
      <c r="Y1526" s="6" t="s">
        <v>954</v>
      </c>
    </row>
    <row r="1527">
      <c r="Y1527" s="6" t="s">
        <v>954</v>
      </c>
    </row>
    <row r="1528">
      <c r="Y1528" s="6" t="s">
        <v>954</v>
      </c>
    </row>
    <row r="1529">
      <c r="Y1529" s="6" t="s">
        <v>954</v>
      </c>
    </row>
    <row r="1530">
      <c r="Y1530" s="6" t="s">
        <v>954</v>
      </c>
    </row>
    <row r="1531">
      <c r="Y1531" s="6" t="s">
        <v>954</v>
      </c>
    </row>
    <row r="1532">
      <c r="Y1532" s="6" t="s">
        <v>954</v>
      </c>
    </row>
    <row r="1533">
      <c r="Y1533" s="6" t="s">
        <v>954</v>
      </c>
    </row>
    <row r="1534">
      <c r="Y1534" s="6" t="s">
        <v>954</v>
      </c>
    </row>
    <row r="1535">
      <c r="Y1535" s="6" t="s">
        <v>954</v>
      </c>
    </row>
    <row r="1536">
      <c r="Y1536" s="6" t="s">
        <v>954</v>
      </c>
    </row>
    <row r="1537">
      <c r="Y1537" s="6" t="s">
        <v>954</v>
      </c>
    </row>
    <row r="1538">
      <c r="Y1538" s="6" t="s">
        <v>954</v>
      </c>
    </row>
    <row r="1539">
      <c r="Y1539" s="6" t="s">
        <v>954</v>
      </c>
    </row>
    <row r="1540">
      <c r="Y1540" s="6" t="s">
        <v>954</v>
      </c>
    </row>
    <row r="1541">
      <c r="Y1541" s="6" t="s">
        <v>954</v>
      </c>
    </row>
    <row r="1542">
      <c r="Y1542" s="6" t="s">
        <v>954</v>
      </c>
    </row>
    <row r="1543">
      <c r="Y1543" s="6" t="s">
        <v>954</v>
      </c>
    </row>
    <row r="1544">
      <c r="Y1544" s="6" t="s">
        <v>954</v>
      </c>
    </row>
    <row r="1545">
      <c r="Y1545" s="6" t="s">
        <v>954</v>
      </c>
    </row>
    <row r="1546">
      <c r="Y1546" s="6" t="s">
        <v>954</v>
      </c>
    </row>
    <row r="1547">
      <c r="Y1547" s="6" t="s">
        <v>954</v>
      </c>
    </row>
    <row r="1548">
      <c r="Y1548" s="6" t="s">
        <v>954</v>
      </c>
    </row>
    <row r="1549">
      <c r="Y1549" s="6" t="s">
        <v>954</v>
      </c>
    </row>
    <row r="1550">
      <c r="Y1550" s="6" t="s">
        <v>954</v>
      </c>
    </row>
    <row r="1551">
      <c r="Y1551" s="6" t="s">
        <v>954</v>
      </c>
    </row>
    <row r="1552">
      <c r="Y1552" s="6" t="s">
        <v>954</v>
      </c>
    </row>
    <row r="1553">
      <c r="Y1553" s="6" t="s">
        <v>954</v>
      </c>
    </row>
    <row r="1554">
      <c r="Y1554" s="6" t="s">
        <v>954</v>
      </c>
    </row>
    <row r="1555">
      <c r="Y1555" s="6" t="s">
        <v>954</v>
      </c>
    </row>
    <row r="1556">
      <c r="Y1556" s="6" t="s">
        <v>954</v>
      </c>
    </row>
    <row r="1557">
      <c r="Y1557" s="6" t="s">
        <v>954</v>
      </c>
    </row>
    <row r="1558">
      <c r="Y1558" s="6" t="s">
        <v>954</v>
      </c>
    </row>
    <row r="1559">
      <c r="Y1559" s="6" t="s">
        <v>954</v>
      </c>
    </row>
    <row r="1560">
      <c r="Y1560" s="6" t="s">
        <v>954</v>
      </c>
    </row>
    <row r="1561">
      <c r="Y1561" s="6" t="s">
        <v>954</v>
      </c>
    </row>
    <row r="1562">
      <c r="Y1562" s="6" t="s">
        <v>954</v>
      </c>
    </row>
    <row r="1563">
      <c r="Y1563" s="6" t="s">
        <v>954</v>
      </c>
    </row>
    <row r="1564">
      <c r="Y1564" s="6" t="s">
        <v>954</v>
      </c>
    </row>
    <row r="1565">
      <c r="Y1565" s="6" t="s">
        <v>954</v>
      </c>
    </row>
    <row r="1566">
      <c r="Y1566" s="6" t="s">
        <v>954</v>
      </c>
    </row>
    <row r="1567">
      <c r="Y1567" s="6" t="s">
        <v>954</v>
      </c>
    </row>
    <row r="1568">
      <c r="Y1568" s="6" t="s">
        <v>954</v>
      </c>
    </row>
    <row r="1569">
      <c r="Y1569" s="6" t="s">
        <v>954</v>
      </c>
    </row>
    <row r="1570">
      <c r="Y1570" s="6" t="s">
        <v>954</v>
      </c>
    </row>
    <row r="1571">
      <c r="Y1571" s="6" t="s">
        <v>954</v>
      </c>
    </row>
    <row r="1572">
      <c r="Y1572" s="6" t="s">
        <v>954</v>
      </c>
    </row>
    <row r="1573">
      <c r="Y1573" s="6" t="s">
        <v>954</v>
      </c>
    </row>
    <row r="1574">
      <c r="Y1574" s="6" t="s">
        <v>954</v>
      </c>
    </row>
    <row r="1575">
      <c r="Y1575" s="6" t="s">
        <v>954</v>
      </c>
    </row>
    <row r="1576">
      <c r="Y1576" s="6" t="s">
        <v>954</v>
      </c>
    </row>
    <row r="1577">
      <c r="Y1577" s="6" t="s">
        <v>954</v>
      </c>
    </row>
    <row r="1578">
      <c r="Y1578" s="6" t="s">
        <v>954</v>
      </c>
    </row>
    <row r="1579">
      <c r="Y1579" s="6" t="s">
        <v>954</v>
      </c>
    </row>
    <row r="1580">
      <c r="Y1580" s="6" t="s">
        <v>954</v>
      </c>
    </row>
    <row r="1581">
      <c r="Y1581" s="6" t="s">
        <v>954</v>
      </c>
    </row>
    <row r="1582">
      <c r="Y1582" s="6" t="s">
        <v>954</v>
      </c>
    </row>
    <row r="1583">
      <c r="Y1583" s="6" t="s">
        <v>954</v>
      </c>
    </row>
    <row r="1584">
      <c r="Y1584" s="6" t="s">
        <v>954</v>
      </c>
    </row>
    <row r="1585">
      <c r="Y1585" s="6" t="s">
        <v>954</v>
      </c>
    </row>
    <row r="1586">
      <c r="Y1586" s="6" t="s">
        <v>954</v>
      </c>
    </row>
    <row r="1587">
      <c r="Y1587" s="6" t="s">
        <v>954</v>
      </c>
    </row>
    <row r="1588">
      <c r="Y1588" s="6" t="s">
        <v>954</v>
      </c>
    </row>
    <row r="1589">
      <c r="Y1589" s="6" t="s">
        <v>954</v>
      </c>
    </row>
    <row r="1590">
      <c r="Y1590" s="6" t="s">
        <v>954</v>
      </c>
    </row>
    <row r="1591">
      <c r="Y1591" s="6" t="s">
        <v>954</v>
      </c>
    </row>
    <row r="1592">
      <c r="Y1592" s="6" t="s">
        <v>954</v>
      </c>
    </row>
    <row r="1593">
      <c r="Y1593" s="6" t="s">
        <v>954</v>
      </c>
    </row>
    <row r="1594">
      <c r="Y1594" s="6" t="s">
        <v>954</v>
      </c>
    </row>
    <row r="1595">
      <c r="Y1595" s="6" t="s">
        <v>954</v>
      </c>
    </row>
    <row r="1596">
      <c r="Y1596" s="6" t="s">
        <v>954</v>
      </c>
    </row>
    <row r="1597">
      <c r="Y1597" s="6" t="s">
        <v>954</v>
      </c>
    </row>
    <row r="1598">
      <c r="Y1598" s="6" t="s">
        <v>954</v>
      </c>
    </row>
    <row r="1599">
      <c r="Y1599" s="6" t="s">
        <v>954</v>
      </c>
    </row>
    <row r="1600">
      <c r="Y1600" s="6" t="s">
        <v>954</v>
      </c>
    </row>
    <row r="1601">
      <c r="Y1601" s="6" t="s">
        <v>954</v>
      </c>
    </row>
    <row r="1602">
      <c r="Y1602" s="6" t="s">
        <v>954</v>
      </c>
    </row>
    <row r="1603">
      <c r="Y1603" s="6" t="s">
        <v>954</v>
      </c>
    </row>
    <row r="1604">
      <c r="Y1604" s="6" t="s">
        <v>954</v>
      </c>
    </row>
    <row r="1605">
      <c r="Y1605" s="6" t="s">
        <v>954</v>
      </c>
    </row>
    <row r="1606">
      <c r="Y1606" s="6" t="s">
        <v>954</v>
      </c>
    </row>
    <row r="1607">
      <c r="Y1607" s="6" t="s">
        <v>954</v>
      </c>
    </row>
    <row r="1608">
      <c r="Y1608" s="6" t="s">
        <v>954</v>
      </c>
    </row>
    <row r="1609">
      <c r="Y1609" s="6" t="s">
        <v>954</v>
      </c>
    </row>
    <row r="1610">
      <c r="Y1610" s="6" t="s">
        <v>954</v>
      </c>
    </row>
    <row r="1611">
      <c r="Y1611" s="6" t="s">
        <v>954</v>
      </c>
    </row>
    <row r="1612">
      <c r="Y1612" s="6" t="s">
        <v>954</v>
      </c>
    </row>
    <row r="1613">
      <c r="Y1613" s="6" t="s">
        <v>954</v>
      </c>
    </row>
    <row r="1614">
      <c r="Y1614" s="6" t="s">
        <v>954</v>
      </c>
    </row>
    <row r="1615">
      <c r="Y1615" s="6" t="s">
        <v>954</v>
      </c>
    </row>
    <row r="1616">
      <c r="Y1616" s="6" t="s">
        <v>954</v>
      </c>
    </row>
    <row r="1617">
      <c r="Y1617" s="6" t="s">
        <v>954</v>
      </c>
    </row>
    <row r="1618">
      <c r="Y1618" s="6" t="s">
        <v>954</v>
      </c>
    </row>
    <row r="1619">
      <c r="Y1619" s="6" t="s">
        <v>954</v>
      </c>
    </row>
    <row r="1620">
      <c r="Y1620" s="6" t="s">
        <v>954</v>
      </c>
    </row>
    <row r="1621">
      <c r="Y1621" s="6" t="s">
        <v>954</v>
      </c>
    </row>
    <row r="1622">
      <c r="Y1622" s="6" t="s">
        <v>954</v>
      </c>
    </row>
    <row r="1623">
      <c r="Y1623" s="6" t="s">
        <v>954</v>
      </c>
    </row>
    <row r="1624">
      <c r="Y1624" s="6" t="s">
        <v>954</v>
      </c>
    </row>
    <row r="1625">
      <c r="Y1625" s="6" t="s">
        <v>954</v>
      </c>
    </row>
    <row r="1626">
      <c r="Y1626" s="6" t="s">
        <v>954</v>
      </c>
    </row>
    <row r="1627">
      <c r="Y1627" s="6" t="s">
        <v>954</v>
      </c>
    </row>
    <row r="1628">
      <c r="Y1628" s="6" t="s">
        <v>954</v>
      </c>
    </row>
    <row r="1629">
      <c r="Y1629" s="6" t="s">
        <v>954</v>
      </c>
    </row>
    <row r="1630">
      <c r="Y1630" s="6" t="s">
        <v>954</v>
      </c>
    </row>
    <row r="1631">
      <c r="Y1631" s="6" t="s">
        <v>954</v>
      </c>
    </row>
    <row r="1632">
      <c r="Y1632" s="6" t="s">
        <v>954</v>
      </c>
    </row>
    <row r="1633">
      <c r="Y1633" s="6" t="s">
        <v>954</v>
      </c>
    </row>
    <row r="1634">
      <c r="Y1634" s="6" t="s">
        <v>954</v>
      </c>
    </row>
    <row r="1635">
      <c r="Y1635" s="6" t="s">
        <v>954</v>
      </c>
    </row>
    <row r="1636">
      <c r="Y1636" s="6" t="s">
        <v>954</v>
      </c>
    </row>
    <row r="1637">
      <c r="Y1637" s="6" t="s">
        <v>954</v>
      </c>
    </row>
    <row r="1638">
      <c r="Y1638" s="6" t="s">
        <v>954</v>
      </c>
    </row>
    <row r="1639">
      <c r="Y1639" s="6" t="s">
        <v>954</v>
      </c>
    </row>
    <row r="1640">
      <c r="Y1640" s="6" t="s">
        <v>954</v>
      </c>
    </row>
    <row r="1641">
      <c r="Y1641" s="6" t="s">
        <v>954</v>
      </c>
    </row>
    <row r="1642">
      <c r="Y1642" s="6" t="s">
        <v>954</v>
      </c>
    </row>
    <row r="1643">
      <c r="Y1643" s="6" t="s">
        <v>954</v>
      </c>
    </row>
    <row r="1644">
      <c r="Y1644" s="6" t="s">
        <v>954</v>
      </c>
    </row>
    <row r="1645">
      <c r="Y1645" s="6" t="s">
        <v>954</v>
      </c>
    </row>
    <row r="1646">
      <c r="Y1646" s="6" t="s">
        <v>954</v>
      </c>
    </row>
    <row r="1647">
      <c r="Y1647" s="6" t="s">
        <v>954</v>
      </c>
    </row>
    <row r="1648">
      <c r="Y1648" s="6" t="s">
        <v>954</v>
      </c>
    </row>
    <row r="1649">
      <c r="Y1649" s="6" t="s">
        <v>954</v>
      </c>
    </row>
    <row r="1650">
      <c r="Y1650" s="6" t="s">
        <v>954</v>
      </c>
    </row>
    <row r="1651">
      <c r="Y1651" s="6" t="s">
        <v>954</v>
      </c>
    </row>
    <row r="1652">
      <c r="Y1652" s="6" t="s">
        <v>954</v>
      </c>
    </row>
    <row r="1653">
      <c r="Y1653" s="6" t="s">
        <v>954</v>
      </c>
    </row>
    <row r="1654">
      <c r="Y1654" s="6" t="s">
        <v>954</v>
      </c>
    </row>
    <row r="1655">
      <c r="Y1655" s="6" t="s">
        <v>954</v>
      </c>
    </row>
    <row r="1656">
      <c r="Y1656" s="6" t="s">
        <v>954</v>
      </c>
    </row>
    <row r="1657">
      <c r="Y1657" s="6" t="s">
        <v>954</v>
      </c>
    </row>
    <row r="1658">
      <c r="Y1658" s="6" t="s">
        <v>954</v>
      </c>
    </row>
    <row r="1659">
      <c r="Y1659" s="6" t="s">
        <v>954</v>
      </c>
    </row>
    <row r="1660">
      <c r="Y1660" s="6" t="s">
        <v>954</v>
      </c>
    </row>
    <row r="1661">
      <c r="Y1661" s="6" t="s">
        <v>954</v>
      </c>
    </row>
    <row r="1662">
      <c r="Y1662" s="6" t="s">
        <v>954</v>
      </c>
    </row>
    <row r="1663">
      <c r="Y1663" s="6" t="s">
        <v>954</v>
      </c>
    </row>
    <row r="1664">
      <c r="Y1664" s="6" t="s">
        <v>954</v>
      </c>
    </row>
    <row r="1665">
      <c r="Y1665" s="6" t="s">
        <v>954</v>
      </c>
    </row>
    <row r="1666">
      <c r="Y1666" s="6" t="s">
        <v>954</v>
      </c>
    </row>
    <row r="1667">
      <c r="Y1667" s="6" t="s">
        <v>954</v>
      </c>
    </row>
    <row r="1668">
      <c r="Y1668" s="6" t="s">
        <v>954</v>
      </c>
    </row>
    <row r="1669">
      <c r="Y1669" s="6" t="s">
        <v>954</v>
      </c>
    </row>
    <row r="1670">
      <c r="Y1670" s="6" t="s">
        <v>954</v>
      </c>
    </row>
    <row r="1671">
      <c r="Y1671" s="6" t="s">
        <v>954</v>
      </c>
    </row>
    <row r="1672">
      <c r="Y1672" s="6" t="s">
        <v>954</v>
      </c>
    </row>
    <row r="1673">
      <c r="Y1673" s="6" t="s">
        <v>954</v>
      </c>
    </row>
    <row r="1674">
      <c r="Y1674" s="6" t="s">
        <v>954</v>
      </c>
    </row>
    <row r="1675">
      <c r="Y1675" s="6" t="s">
        <v>954</v>
      </c>
    </row>
    <row r="1676">
      <c r="Y1676" s="6" t="s">
        <v>954</v>
      </c>
    </row>
    <row r="1677">
      <c r="Y1677" s="6" t="s">
        <v>954</v>
      </c>
    </row>
    <row r="1678">
      <c r="Y1678" s="6" t="s">
        <v>954</v>
      </c>
    </row>
    <row r="1679">
      <c r="Y1679" s="6" t="s">
        <v>954</v>
      </c>
    </row>
    <row r="1680">
      <c r="Y1680" s="6" t="s">
        <v>954</v>
      </c>
    </row>
    <row r="1681">
      <c r="Y1681" s="6" t="s">
        <v>954</v>
      </c>
    </row>
    <row r="1682">
      <c r="Y1682" s="6" t="s">
        <v>954</v>
      </c>
    </row>
    <row r="1683">
      <c r="Y1683" s="6" t="s">
        <v>954</v>
      </c>
    </row>
    <row r="1684">
      <c r="Y1684" s="6" t="s">
        <v>954</v>
      </c>
    </row>
    <row r="1685">
      <c r="Y1685" s="6" t="s">
        <v>954</v>
      </c>
    </row>
    <row r="1686">
      <c r="Y1686" s="6" t="s">
        <v>954</v>
      </c>
    </row>
    <row r="1687">
      <c r="Y1687" s="6" t="s">
        <v>954</v>
      </c>
    </row>
    <row r="1688">
      <c r="Y1688" s="6" t="s">
        <v>954</v>
      </c>
    </row>
    <row r="1689">
      <c r="Y1689" s="6" t="s">
        <v>954</v>
      </c>
    </row>
    <row r="1690">
      <c r="Y1690" s="6" t="s">
        <v>954</v>
      </c>
    </row>
    <row r="1691">
      <c r="Y1691" s="6" t="s">
        <v>954</v>
      </c>
    </row>
    <row r="1692">
      <c r="Y1692" s="6" t="s">
        <v>954</v>
      </c>
    </row>
    <row r="1693">
      <c r="Y1693" s="6" t="s">
        <v>954</v>
      </c>
    </row>
    <row r="1694">
      <c r="Y1694" s="6" t="s">
        <v>954</v>
      </c>
    </row>
    <row r="1695">
      <c r="Y1695" s="6" t="s">
        <v>954</v>
      </c>
    </row>
    <row r="1696">
      <c r="Y1696" s="6" t="s">
        <v>954</v>
      </c>
    </row>
    <row r="1697">
      <c r="Y1697" s="6" t="s">
        <v>954</v>
      </c>
    </row>
    <row r="1698">
      <c r="Y1698" s="6" t="s">
        <v>954</v>
      </c>
    </row>
    <row r="1699">
      <c r="Y1699" s="6" t="s">
        <v>954</v>
      </c>
    </row>
    <row r="1700">
      <c r="Y1700" s="6" t="s">
        <v>954</v>
      </c>
    </row>
    <row r="1701">
      <c r="Y1701" s="6" t="s">
        <v>954</v>
      </c>
    </row>
    <row r="1702">
      <c r="Y1702" s="6" t="s">
        <v>954</v>
      </c>
    </row>
    <row r="1703">
      <c r="Y1703" s="6" t="s">
        <v>954</v>
      </c>
    </row>
    <row r="1704">
      <c r="Y1704" s="6" t="s">
        <v>954</v>
      </c>
    </row>
    <row r="1705">
      <c r="Y1705" s="6" t="s">
        <v>954</v>
      </c>
    </row>
    <row r="1706">
      <c r="Y1706" s="6" t="s">
        <v>954</v>
      </c>
    </row>
    <row r="1707">
      <c r="Y1707" s="6" t="s">
        <v>954</v>
      </c>
    </row>
    <row r="1708">
      <c r="Y1708" s="6" t="s">
        <v>954</v>
      </c>
    </row>
    <row r="1709">
      <c r="Y1709" s="6" t="s">
        <v>954</v>
      </c>
    </row>
    <row r="1710">
      <c r="Y1710" s="6" t="s">
        <v>954</v>
      </c>
    </row>
    <row r="1711">
      <c r="Y1711" s="6" t="s">
        <v>954</v>
      </c>
    </row>
    <row r="1712">
      <c r="Y1712" s="6" t="s">
        <v>954</v>
      </c>
    </row>
    <row r="1713">
      <c r="Y1713" s="6" t="s">
        <v>954</v>
      </c>
    </row>
    <row r="1714">
      <c r="Y1714" s="6" t="s">
        <v>954</v>
      </c>
    </row>
    <row r="1715">
      <c r="Y1715" s="6" t="s">
        <v>954</v>
      </c>
    </row>
    <row r="1716">
      <c r="Y1716" s="6" t="s">
        <v>954</v>
      </c>
    </row>
    <row r="1717">
      <c r="Y1717" s="6" t="s">
        <v>954</v>
      </c>
    </row>
    <row r="1718">
      <c r="Y1718" s="6" t="s">
        <v>954</v>
      </c>
    </row>
    <row r="1719">
      <c r="Y1719" s="6" t="s">
        <v>954</v>
      </c>
    </row>
    <row r="1720">
      <c r="Y1720" s="6" t="s">
        <v>954</v>
      </c>
    </row>
    <row r="1721">
      <c r="Y1721" s="6" t="s">
        <v>954</v>
      </c>
    </row>
    <row r="1722">
      <c r="Y1722" s="6" t="s">
        <v>954</v>
      </c>
    </row>
    <row r="1723">
      <c r="Y1723" s="6" t="s">
        <v>954</v>
      </c>
    </row>
    <row r="1724">
      <c r="Y1724" s="6" t="s">
        <v>954</v>
      </c>
    </row>
    <row r="1725">
      <c r="Y1725" s="6" t="s">
        <v>954</v>
      </c>
    </row>
    <row r="1726">
      <c r="Y1726" s="6" t="s">
        <v>954</v>
      </c>
    </row>
    <row r="1727">
      <c r="Y1727" s="6" t="s">
        <v>954</v>
      </c>
    </row>
    <row r="1728">
      <c r="Y1728" s="6" t="s">
        <v>954</v>
      </c>
    </row>
    <row r="1729">
      <c r="Y1729" s="6" t="s">
        <v>954</v>
      </c>
    </row>
    <row r="1730">
      <c r="Y1730" s="6" t="s">
        <v>954</v>
      </c>
    </row>
    <row r="1731">
      <c r="Y1731" s="6" t="s">
        <v>954</v>
      </c>
    </row>
    <row r="1732">
      <c r="Y1732" s="6" t="s">
        <v>954</v>
      </c>
    </row>
    <row r="1733">
      <c r="Y1733" s="6" t="s">
        <v>954</v>
      </c>
    </row>
    <row r="1734">
      <c r="Y1734" s="6" t="s">
        <v>954</v>
      </c>
    </row>
    <row r="1735">
      <c r="Y1735" s="6" t="s">
        <v>954</v>
      </c>
    </row>
    <row r="1736">
      <c r="Y1736" s="6" t="s">
        <v>954</v>
      </c>
    </row>
    <row r="1737">
      <c r="Y1737" s="6" t="s">
        <v>954</v>
      </c>
    </row>
    <row r="1738">
      <c r="Y1738" s="6" t="s">
        <v>954</v>
      </c>
    </row>
    <row r="1739">
      <c r="Y1739" s="6" t="s">
        <v>954</v>
      </c>
    </row>
    <row r="1740">
      <c r="Y1740" s="6" t="s">
        <v>954</v>
      </c>
    </row>
    <row r="1741">
      <c r="Y1741" s="6" t="s">
        <v>954</v>
      </c>
    </row>
    <row r="1742">
      <c r="Y1742" s="6" t="s">
        <v>954</v>
      </c>
    </row>
    <row r="1743">
      <c r="Y1743" s="6" t="s">
        <v>954</v>
      </c>
    </row>
    <row r="1744">
      <c r="Y1744" s="6" t="s">
        <v>954</v>
      </c>
    </row>
    <row r="1745">
      <c r="Y1745" s="6" t="s">
        <v>954</v>
      </c>
    </row>
    <row r="1746">
      <c r="Y1746" s="6" t="s">
        <v>954</v>
      </c>
    </row>
    <row r="1747">
      <c r="Y1747" s="6" t="s">
        <v>954</v>
      </c>
    </row>
    <row r="1748">
      <c r="Y1748" s="6" t="s">
        <v>954</v>
      </c>
    </row>
    <row r="1749">
      <c r="Y1749" s="6" t="s">
        <v>954</v>
      </c>
    </row>
    <row r="1750">
      <c r="Y1750" s="6" t="s">
        <v>954</v>
      </c>
    </row>
    <row r="1751">
      <c r="Y1751" s="6" t="s">
        <v>954</v>
      </c>
    </row>
    <row r="1752">
      <c r="Y1752" s="6" t="s">
        <v>954</v>
      </c>
    </row>
    <row r="1753">
      <c r="Y1753" s="6" t="s">
        <v>954</v>
      </c>
    </row>
    <row r="1754">
      <c r="Y1754" s="6" t="s">
        <v>954</v>
      </c>
    </row>
    <row r="1755">
      <c r="Y1755" s="6" t="s">
        <v>954</v>
      </c>
    </row>
    <row r="1756">
      <c r="Y1756" s="6" t="s">
        <v>954</v>
      </c>
    </row>
    <row r="1757">
      <c r="Y1757" s="6" t="s">
        <v>954</v>
      </c>
    </row>
    <row r="1758">
      <c r="Y1758" s="6" t="s">
        <v>954</v>
      </c>
    </row>
    <row r="1759">
      <c r="Y1759" s="6" t="s">
        <v>954</v>
      </c>
    </row>
    <row r="1760">
      <c r="Y1760" s="6" t="s">
        <v>954</v>
      </c>
    </row>
    <row r="1761">
      <c r="Y1761" s="6" t="s">
        <v>954</v>
      </c>
    </row>
    <row r="1762">
      <c r="Y1762" s="6" t="s">
        <v>954</v>
      </c>
    </row>
    <row r="1763">
      <c r="Y1763" s="6" t="s">
        <v>954</v>
      </c>
    </row>
    <row r="1764">
      <c r="Y1764" s="6" t="s">
        <v>954</v>
      </c>
    </row>
    <row r="1765">
      <c r="Y1765" s="6" t="s">
        <v>954</v>
      </c>
    </row>
    <row r="1766">
      <c r="Y1766" s="6" t="s">
        <v>954</v>
      </c>
    </row>
    <row r="1767">
      <c r="Y1767" s="6" t="s">
        <v>954</v>
      </c>
    </row>
    <row r="1768">
      <c r="Y1768" s="6" t="s">
        <v>954</v>
      </c>
    </row>
    <row r="1769">
      <c r="Y1769" s="6" t="s">
        <v>954</v>
      </c>
    </row>
    <row r="1770">
      <c r="Y1770" s="6" t="s">
        <v>954</v>
      </c>
    </row>
    <row r="1771">
      <c r="Y1771" s="6" t="s">
        <v>954</v>
      </c>
    </row>
    <row r="1772">
      <c r="Y1772" s="6" t="s">
        <v>954</v>
      </c>
    </row>
    <row r="1773">
      <c r="Y1773" s="6" t="s">
        <v>954</v>
      </c>
    </row>
    <row r="1774">
      <c r="Y1774" s="6" t="s">
        <v>954</v>
      </c>
    </row>
    <row r="1775">
      <c r="Y1775" s="6" t="s">
        <v>954</v>
      </c>
    </row>
    <row r="1776">
      <c r="Y1776" s="6" t="s">
        <v>954</v>
      </c>
    </row>
    <row r="1777">
      <c r="Y1777" s="6" t="s">
        <v>954</v>
      </c>
    </row>
    <row r="1778">
      <c r="Y1778" s="6" t="s">
        <v>954</v>
      </c>
    </row>
    <row r="1779">
      <c r="Y1779" s="6" t="s">
        <v>954</v>
      </c>
    </row>
    <row r="1780">
      <c r="Y1780" s="6" t="s">
        <v>954</v>
      </c>
    </row>
    <row r="1781">
      <c r="Y1781" s="6" t="s">
        <v>954</v>
      </c>
    </row>
    <row r="1782">
      <c r="Y1782" s="6" t="s">
        <v>954</v>
      </c>
    </row>
    <row r="1783">
      <c r="Y1783" s="6" t="s">
        <v>954</v>
      </c>
    </row>
    <row r="1784">
      <c r="Y1784" s="6" t="s">
        <v>954</v>
      </c>
    </row>
    <row r="1785">
      <c r="Y1785" s="6" t="s">
        <v>954</v>
      </c>
    </row>
    <row r="1786">
      <c r="Y1786" s="6" t="s">
        <v>954</v>
      </c>
    </row>
    <row r="1787">
      <c r="Y1787" s="6" t="s">
        <v>954</v>
      </c>
    </row>
    <row r="1788">
      <c r="Y1788" s="6" t="s">
        <v>954</v>
      </c>
    </row>
    <row r="1789">
      <c r="Y1789" s="6" t="s">
        <v>954</v>
      </c>
    </row>
    <row r="1790">
      <c r="Y1790" s="6" t="s">
        <v>954</v>
      </c>
    </row>
    <row r="1791">
      <c r="Y1791" s="6" t="s">
        <v>954</v>
      </c>
    </row>
    <row r="1792">
      <c r="Y1792" s="6" t="s">
        <v>954</v>
      </c>
    </row>
    <row r="1793">
      <c r="Y1793" s="6" t="s">
        <v>954</v>
      </c>
    </row>
    <row r="1794">
      <c r="Y1794" s="6" t="s">
        <v>954</v>
      </c>
    </row>
    <row r="1795">
      <c r="Y1795" s="6" t="s">
        <v>954</v>
      </c>
    </row>
    <row r="1796">
      <c r="Y1796" s="6" t="s">
        <v>954</v>
      </c>
    </row>
    <row r="1797">
      <c r="Y1797" s="6" t="s">
        <v>954</v>
      </c>
    </row>
    <row r="1798">
      <c r="Y1798" s="6" t="s">
        <v>954</v>
      </c>
    </row>
    <row r="1799">
      <c r="Y1799" s="6" t="s">
        <v>954</v>
      </c>
    </row>
    <row r="1800">
      <c r="Y1800" s="6" t="s">
        <v>954</v>
      </c>
    </row>
    <row r="1801">
      <c r="Y1801" s="6" t="s">
        <v>954</v>
      </c>
    </row>
    <row r="1802">
      <c r="Y1802" s="6" t="s">
        <v>954</v>
      </c>
    </row>
    <row r="1803">
      <c r="Y1803" s="6" t="s">
        <v>954</v>
      </c>
    </row>
    <row r="1804">
      <c r="Y1804" s="6" t="s">
        <v>954</v>
      </c>
    </row>
    <row r="1805">
      <c r="Y1805" s="6" t="s">
        <v>954</v>
      </c>
    </row>
    <row r="1806">
      <c r="Y1806" s="6" t="s">
        <v>954</v>
      </c>
    </row>
    <row r="1807">
      <c r="Y1807" s="6" t="s">
        <v>954</v>
      </c>
    </row>
    <row r="1808">
      <c r="Y1808" s="6" t="s">
        <v>954</v>
      </c>
    </row>
    <row r="1809">
      <c r="Y1809" s="6" t="s">
        <v>954</v>
      </c>
    </row>
    <row r="1810">
      <c r="Y1810" s="6" t="s">
        <v>954</v>
      </c>
    </row>
    <row r="1811">
      <c r="Y1811" s="6" t="s">
        <v>954</v>
      </c>
    </row>
    <row r="1812">
      <c r="Y1812" s="6" t="s">
        <v>954</v>
      </c>
    </row>
    <row r="1813">
      <c r="Y1813" s="6" t="s">
        <v>954</v>
      </c>
    </row>
    <row r="1814">
      <c r="Y1814" s="6" t="s">
        <v>954</v>
      </c>
    </row>
    <row r="1815">
      <c r="Y1815" s="6" t="s">
        <v>954</v>
      </c>
    </row>
    <row r="1816">
      <c r="Y1816" s="6" t="s">
        <v>954</v>
      </c>
    </row>
    <row r="1817">
      <c r="Y1817" s="6" t="s">
        <v>954</v>
      </c>
    </row>
    <row r="1818">
      <c r="Y1818" s="6" t="s">
        <v>954</v>
      </c>
    </row>
    <row r="1819">
      <c r="Y1819" s="6" t="s">
        <v>954</v>
      </c>
    </row>
    <row r="1820">
      <c r="Y1820" s="6" t="s">
        <v>954</v>
      </c>
    </row>
    <row r="1821">
      <c r="Y1821" s="6" t="s">
        <v>954</v>
      </c>
    </row>
    <row r="1822">
      <c r="Y1822" s="6" t="s">
        <v>954</v>
      </c>
    </row>
    <row r="1823">
      <c r="Y1823" s="6" t="s">
        <v>954</v>
      </c>
    </row>
    <row r="1824">
      <c r="Y1824" s="6" t="s">
        <v>954</v>
      </c>
    </row>
    <row r="1825">
      <c r="Y1825" s="6" t="s">
        <v>954</v>
      </c>
    </row>
    <row r="1826">
      <c r="Y1826" s="6" t="s">
        <v>954</v>
      </c>
    </row>
    <row r="1827">
      <c r="Y1827" s="6" t="s">
        <v>954</v>
      </c>
    </row>
    <row r="1828">
      <c r="Y1828" s="6" t="s">
        <v>954</v>
      </c>
    </row>
    <row r="1829">
      <c r="Y1829" s="6" t="s">
        <v>954</v>
      </c>
    </row>
    <row r="1830">
      <c r="Y1830" s="6" t="s">
        <v>954</v>
      </c>
    </row>
    <row r="1831">
      <c r="Y1831" s="6" t="s">
        <v>954</v>
      </c>
    </row>
    <row r="1832">
      <c r="Y1832" s="6" t="s">
        <v>954</v>
      </c>
    </row>
    <row r="1833">
      <c r="Y1833" s="6" t="s">
        <v>954</v>
      </c>
    </row>
    <row r="1834">
      <c r="Y1834" s="6" t="s">
        <v>954</v>
      </c>
    </row>
    <row r="1835">
      <c r="Y1835" s="6" t="s">
        <v>954</v>
      </c>
    </row>
    <row r="1836">
      <c r="Y1836" s="6" t="s">
        <v>954</v>
      </c>
    </row>
    <row r="1837">
      <c r="Y1837" s="6" t="s">
        <v>954</v>
      </c>
    </row>
    <row r="1838">
      <c r="Y1838" s="6" t="s">
        <v>954</v>
      </c>
    </row>
    <row r="1839">
      <c r="Y1839" s="6" t="s">
        <v>954</v>
      </c>
    </row>
    <row r="1840">
      <c r="Y1840" s="6" t="s">
        <v>954</v>
      </c>
    </row>
    <row r="1841">
      <c r="Y1841" s="6" t="s">
        <v>954</v>
      </c>
    </row>
    <row r="1842">
      <c r="Y1842" s="6" t="s">
        <v>954</v>
      </c>
    </row>
    <row r="1843">
      <c r="Y1843" s="6" t="s">
        <v>954</v>
      </c>
    </row>
    <row r="1844">
      <c r="Y1844" s="6" t="s">
        <v>954</v>
      </c>
    </row>
    <row r="1845">
      <c r="Y1845" s="6" t="s">
        <v>954</v>
      </c>
    </row>
    <row r="1846">
      <c r="Y1846" s="6" t="s">
        <v>954</v>
      </c>
    </row>
    <row r="1847">
      <c r="Y1847" s="6" t="s">
        <v>954</v>
      </c>
    </row>
    <row r="1848">
      <c r="Y1848" s="6" t="s">
        <v>954</v>
      </c>
    </row>
    <row r="1849">
      <c r="Y1849" s="6" t="s">
        <v>954</v>
      </c>
    </row>
    <row r="1850">
      <c r="Y1850" s="6" t="s">
        <v>954</v>
      </c>
    </row>
    <row r="1851">
      <c r="Y1851" s="6" t="s">
        <v>954</v>
      </c>
    </row>
    <row r="1852">
      <c r="Y1852" s="6" t="s">
        <v>954</v>
      </c>
    </row>
    <row r="1853">
      <c r="Y1853" s="6" t="s">
        <v>954</v>
      </c>
    </row>
    <row r="1854">
      <c r="Y1854" s="6" t="s">
        <v>954</v>
      </c>
    </row>
    <row r="1855">
      <c r="Y1855" s="6" t="s">
        <v>954</v>
      </c>
    </row>
    <row r="1856">
      <c r="Y1856" s="6" t="s">
        <v>954</v>
      </c>
    </row>
    <row r="1857">
      <c r="Y1857" s="6" t="s">
        <v>954</v>
      </c>
    </row>
    <row r="1858">
      <c r="Y1858" s="6" t="s">
        <v>954</v>
      </c>
    </row>
    <row r="1859">
      <c r="Y1859" s="6" t="s">
        <v>954</v>
      </c>
    </row>
    <row r="1860">
      <c r="Y1860" s="6" t="s">
        <v>954</v>
      </c>
    </row>
    <row r="1861">
      <c r="Y1861" s="6" t="s">
        <v>954</v>
      </c>
    </row>
    <row r="1862">
      <c r="Y1862" s="6" t="s">
        <v>954</v>
      </c>
    </row>
    <row r="1863">
      <c r="Y1863" s="6" t="s">
        <v>954</v>
      </c>
    </row>
    <row r="1864">
      <c r="Y1864" s="6" t="s">
        <v>954</v>
      </c>
    </row>
    <row r="1865">
      <c r="Y1865" s="6" t="s">
        <v>954</v>
      </c>
    </row>
    <row r="1866">
      <c r="Y1866" s="6" t="s">
        <v>954</v>
      </c>
    </row>
    <row r="1867">
      <c r="Y1867" s="6" t="s">
        <v>954</v>
      </c>
    </row>
    <row r="1868">
      <c r="Y1868" s="6" t="s">
        <v>954</v>
      </c>
    </row>
    <row r="1869">
      <c r="Y1869" s="6" t="s">
        <v>954</v>
      </c>
    </row>
    <row r="1870">
      <c r="Y1870" s="6" t="s">
        <v>954</v>
      </c>
    </row>
    <row r="1871">
      <c r="Y1871" s="6" t="s">
        <v>954</v>
      </c>
    </row>
    <row r="1872">
      <c r="Y1872" s="6" t="s">
        <v>954</v>
      </c>
    </row>
    <row r="1873">
      <c r="Y1873" s="6" t="s">
        <v>954</v>
      </c>
    </row>
    <row r="1874">
      <c r="Y1874" s="6" t="s">
        <v>954</v>
      </c>
    </row>
    <row r="1875">
      <c r="Y1875" s="6" t="s">
        <v>954</v>
      </c>
    </row>
    <row r="1876">
      <c r="Y1876" s="6" t="s">
        <v>954</v>
      </c>
    </row>
    <row r="1877">
      <c r="Y1877" s="6" t="s">
        <v>954</v>
      </c>
    </row>
    <row r="1878">
      <c r="Y1878" s="6" t="s">
        <v>954</v>
      </c>
    </row>
    <row r="1879">
      <c r="Y1879" s="6" t="s">
        <v>954</v>
      </c>
    </row>
    <row r="1880">
      <c r="Y1880" s="6" t="s">
        <v>954</v>
      </c>
    </row>
    <row r="1881">
      <c r="Y1881" s="6" t="s">
        <v>954</v>
      </c>
    </row>
    <row r="1882">
      <c r="Y1882" s="6" t="s">
        <v>954</v>
      </c>
    </row>
    <row r="1883">
      <c r="Y1883" s="6" t="s">
        <v>954</v>
      </c>
    </row>
    <row r="1884">
      <c r="Y1884" s="6" t="s">
        <v>954</v>
      </c>
    </row>
    <row r="1885">
      <c r="Y1885" s="6" t="s">
        <v>954</v>
      </c>
    </row>
    <row r="1886">
      <c r="Y1886" s="6" t="s">
        <v>954</v>
      </c>
    </row>
    <row r="1887">
      <c r="Y1887" s="6" t="s">
        <v>954</v>
      </c>
    </row>
    <row r="1888">
      <c r="Y1888" s="6" t="s">
        <v>954</v>
      </c>
    </row>
    <row r="1889">
      <c r="Y1889" s="6" t="s">
        <v>954</v>
      </c>
    </row>
    <row r="1890">
      <c r="Y1890" s="6" t="s">
        <v>954</v>
      </c>
    </row>
    <row r="1891">
      <c r="Y1891" s="6" t="s">
        <v>954</v>
      </c>
    </row>
    <row r="1892">
      <c r="Y1892" s="6" t="s">
        <v>954</v>
      </c>
    </row>
    <row r="1893">
      <c r="Y1893" s="6" t="s">
        <v>954</v>
      </c>
    </row>
    <row r="1894">
      <c r="Y1894" s="6" t="s">
        <v>954</v>
      </c>
    </row>
    <row r="1895">
      <c r="Y1895" s="6" t="s">
        <v>954</v>
      </c>
    </row>
    <row r="1896">
      <c r="Y1896" s="6" t="s">
        <v>954</v>
      </c>
    </row>
    <row r="1897">
      <c r="Y1897" s="6" t="s">
        <v>954</v>
      </c>
    </row>
    <row r="1898">
      <c r="Y1898" s="6" t="s">
        <v>954</v>
      </c>
    </row>
    <row r="1899">
      <c r="Y1899" s="6" t="s">
        <v>954</v>
      </c>
    </row>
    <row r="1900">
      <c r="Y1900" s="6" t="s">
        <v>954</v>
      </c>
    </row>
    <row r="1901">
      <c r="Y1901" s="6" t="s">
        <v>954</v>
      </c>
    </row>
    <row r="1902">
      <c r="Y1902" s="6" t="s">
        <v>954</v>
      </c>
    </row>
    <row r="1903">
      <c r="Y1903" s="6" t="s">
        <v>954</v>
      </c>
    </row>
    <row r="1904">
      <c r="Y1904" s="6" t="s">
        <v>954</v>
      </c>
    </row>
    <row r="1905">
      <c r="Y1905" s="6" t="s">
        <v>954</v>
      </c>
    </row>
    <row r="1906">
      <c r="Y1906" s="6" t="s">
        <v>954</v>
      </c>
    </row>
    <row r="1907">
      <c r="Y1907" s="6" t="s">
        <v>954</v>
      </c>
    </row>
    <row r="1908">
      <c r="Y1908" s="6" t="s">
        <v>954</v>
      </c>
    </row>
    <row r="1909">
      <c r="Y1909" s="6" t="s">
        <v>954</v>
      </c>
    </row>
    <row r="1910">
      <c r="Y1910" s="6" t="s">
        <v>954</v>
      </c>
    </row>
    <row r="1911">
      <c r="Y1911" s="6" t="s">
        <v>954</v>
      </c>
    </row>
    <row r="1912">
      <c r="Y1912" s="6" t="s">
        <v>954</v>
      </c>
    </row>
    <row r="1913">
      <c r="Y1913" s="6" t="s">
        <v>954</v>
      </c>
    </row>
    <row r="1914">
      <c r="Y1914" s="6" t="s">
        <v>954</v>
      </c>
    </row>
    <row r="1915">
      <c r="Y1915" s="6" t="s">
        <v>954</v>
      </c>
    </row>
    <row r="1916">
      <c r="Y1916" s="6" t="s">
        <v>954</v>
      </c>
    </row>
    <row r="1917">
      <c r="Y1917" s="6" t="s">
        <v>954</v>
      </c>
    </row>
    <row r="1918">
      <c r="Y1918" s="6" t="s">
        <v>954</v>
      </c>
    </row>
    <row r="1919">
      <c r="Y1919" s="6" t="s">
        <v>954</v>
      </c>
    </row>
    <row r="1920">
      <c r="Y1920" s="6" t="s">
        <v>954</v>
      </c>
    </row>
    <row r="1921">
      <c r="Y1921" s="6" t="s">
        <v>954</v>
      </c>
    </row>
    <row r="1922">
      <c r="Y1922" s="6" t="s">
        <v>954</v>
      </c>
    </row>
    <row r="1923">
      <c r="Y1923" s="6" t="s">
        <v>954</v>
      </c>
    </row>
    <row r="1924">
      <c r="Y1924" s="6" t="s">
        <v>954</v>
      </c>
    </row>
    <row r="1925">
      <c r="Y1925" s="6" t="s">
        <v>954</v>
      </c>
    </row>
    <row r="1926">
      <c r="Y1926" s="6" t="s">
        <v>954</v>
      </c>
    </row>
    <row r="1927">
      <c r="Y1927" s="6" t="s">
        <v>954</v>
      </c>
    </row>
    <row r="1928">
      <c r="Y1928" s="6" t="s">
        <v>954</v>
      </c>
    </row>
    <row r="1929">
      <c r="Y1929" s="6" t="s">
        <v>954</v>
      </c>
    </row>
    <row r="1930">
      <c r="Y1930" s="6" t="s">
        <v>954</v>
      </c>
    </row>
    <row r="1931">
      <c r="Y1931" s="6" t="s">
        <v>954</v>
      </c>
    </row>
    <row r="1932">
      <c r="Y1932" s="6" t="s">
        <v>954</v>
      </c>
    </row>
    <row r="1933">
      <c r="Y1933" s="6" t="s">
        <v>954</v>
      </c>
    </row>
    <row r="1934">
      <c r="Y1934" s="6" t="s">
        <v>954</v>
      </c>
    </row>
    <row r="1935">
      <c r="Y1935" s="6" t="s">
        <v>954</v>
      </c>
    </row>
    <row r="1936">
      <c r="Y1936" s="6" t="s">
        <v>954</v>
      </c>
    </row>
    <row r="1937">
      <c r="Y1937" s="6" t="s">
        <v>954</v>
      </c>
    </row>
    <row r="1938">
      <c r="Y1938" s="6" t="s">
        <v>954</v>
      </c>
    </row>
    <row r="1939">
      <c r="Y1939" s="6" t="s">
        <v>954</v>
      </c>
    </row>
    <row r="1940">
      <c r="Y1940" s="6" t="s">
        <v>954</v>
      </c>
    </row>
    <row r="1941">
      <c r="Y1941" s="6" t="s">
        <v>954</v>
      </c>
    </row>
    <row r="1942">
      <c r="Y1942" s="6" t="s">
        <v>954</v>
      </c>
    </row>
    <row r="1943">
      <c r="Y1943" s="6" t="s">
        <v>954</v>
      </c>
    </row>
    <row r="1944">
      <c r="Y1944" s="6" t="s">
        <v>954</v>
      </c>
    </row>
    <row r="1945">
      <c r="Y1945" s="6" t="s">
        <v>954</v>
      </c>
    </row>
    <row r="1946">
      <c r="Y1946" s="6" t="s">
        <v>954</v>
      </c>
    </row>
    <row r="1947">
      <c r="Y1947" s="6" t="s">
        <v>954</v>
      </c>
    </row>
    <row r="1948">
      <c r="Y1948" s="6" t="s">
        <v>954</v>
      </c>
    </row>
    <row r="1949">
      <c r="Y1949" s="6" t="s">
        <v>954</v>
      </c>
    </row>
    <row r="1950">
      <c r="Y1950" s="6" t="s">
        <v>954</v>
      </c>
    </row>
    <row r="1951">
      <c r="Y1951" s="6" t="s">
        <v>954</v>
      </c>
    </row>
    <row r="1952">
      <c r="Y1952" s="6" t="s">
        <v>954</v>
      </c>
    </row>
    <row r="1953">
      <c r="Y1953" s="6" t="s">
        <v>954</v>
      </c>
    </row>
    <row r="1954">
      <c r="Y1954" s="6" t="s">
        <v>954</v>
      </c>
    </row>
    <row r="1955">
      <c r="Y1955" s="6" t="s">
        <v>954</v>
      </c>
    </row>
    <row r="1956">
      <c r="Y1956" s="6" t="s">
        <v>954</v>
      </c>
    </row>
    <row r="1957">
      <c r="Y1957" s="6" t="s">
        <v>954</v>
      </c>
    </row>
    <row r="1958">
      <c r="Y1958" s="6" t="s">
        <v>954</v>
      </c>
    </row>
    <row r="1959">
      <c r="Y1959" s="6" t="s">
        <v>954</v>
      </c>
    </row>
    <row r="1960">
      <c r="Y1960" s="6" t="s">
        <v>954</v>
      </c>
    </row>
    <row r="1961">
      <c r="Y1961" s="6" t="s">
        <v>954</v>
      </c>
    </row>
    <row r="1962">
      <c r="Y1962" s="6" t="s">
        <v>954</v>
      </c>
    </row>
    <row r="1963">
      <c r="Y1963" s="6" t="s">
        <v>954</v>
      </c>
    </row>
    <row r="1964">
      <c r="Y1964" s="6" t="s">
        <v>954</v>
      </c>
    </row>
    <row r="1965">
      <c r="Y1965" s="6" t="s">
        <v>954</v>
      </c>
    </row>
    <row r="1966">
      <c r="Y1966" s="6" t="s">
        <v>954</v>
      </c>
    </row>
    <row r="1967">
      <c r="Y1967" s="6" t="s">
        <v>954</v>
      </c>
    </row>
    <row r="1968">
      <c r="Y1968" s="6" t="s">
        <v>954</v>
      </c>
    </row>
    <row r="1969">
      <c r="Y1969" s="6" t="s">
        <v>954</v>
      </c>
    </row>
    <row r="1970">
      <c r="Y1970" s="6" t="s">
        <v>954</v>
      </c>
    </row>
    <row r="1971">
      <c r="Y1971" s="6" t="s">
        <v>954</v>
      </c>
    </row>
    <row r="1972">
      <c r="Y1972" s="6" t="s">
        <v>954</v>
      </c>
    </row>
    <row r="1973">
      <c r="Y1973" s="6" t="s">
        <v>954</v>
      </c>
    </row>
    <row r="1974">
      <c r="Y1974" s="6" t="s">
        <v>954</v>
      </c>
    </row>
    <row r="1975">
      <c r="Y1975" s="6" t="s">
        <v>954</v>
      </c>
    </row>
    <row r="1976">
      <c r="Y1976" s="6" t="s">
        <v>954</v>
      </c>
    </row>
    <row r="1977">
      <c r="Y1977" s="6" t="s">
        <v>954</v>
      </c>
    </row>
    <row r="1978">
      <c r="Y1978" s="6" t="s">
        <v>954</v>
      </c>
    </row>
    <row r="1979">
      <c r="Y1979" s="6" t="s">
        <v>954</v>
      </c>
    </row>
    <row r="1980">
      <c r="Y1980" s="6" t="s">
        <v>954</v>
      </c>
    </row>
    <row r="1981">
      <c r="Y1981" s="6" t="s">
        <v>954</v>
      </c>
    </row>
    <row r="1982">
      <c r="Y1982" s="6" t="s">
        <v>954</v>
      </c>
    </row>
    <row r="1983">
      <c r="Y1983" s="6" t="s">
        <v>954</v>
      </c>
    </row>
    <row r="1984">
      <c r="Y1984" s="6" t="s">
        <v>954</v>
      </c>
    </row>
    <row r="1985">
      <c r="Y1985" s="6" t="s">
        <v>954</v>
      </c>
    </row>
    <row r="1986">
      <c r="Y1986" s="6" t="s">
        <v>954</v>
      </c>
    </row>
    <row r="1987">
      <c r="Y1987" s="6" t="s">
        <v>954</v>
      </c>
    </row>
    <row r="1988">
      <c r="Y1988" s="6" t="s">
        <v>954</v>
      </c>
    </row>
    <row r="1989">
      <c r="Y1989" s="6" t="s">
        <v>954</v>
      </c>
    </row>
    <row r="1990">
      <c r="Y1990" s="6" t="s">
        <v>954</v>
      </c>
    </row>
    <row r="1991">
      <c r="Y1991" s="6" t="s">
        <v>954</v>
      </c>
    </row>
    <row r="1992">
      <c r="Y1992" s="6" t="s">
        <v>954</v>
      </c>
    </row>
    <row r="1993">
      <c r="Y1993" s="6" t="s">
        <v>954</v>
      </c>
    </row>
    <row r="1994">
      <c r="Y1994" s="6" t="s">
        <v>954</v>
      </c>
    </row>
    <row r="1995">
      <c r="Y1995" s="6" t="s">
        <v>954</v>
      </c>
    </row>
    <row r="1996">
      <c r="Y1996" s="6" t="s">
        <v>954</v>
      </c>
    </row>
    <row r="1997">
      <c r="Y1997" s="6" t="s">
        <v>954</v>
      </c>
    </row>
    <row r="1998">
      <c r="Y1998" s="6" t="s">
        <v>954</v>
      </c>
    </row>
    <row r="1999">
      <c r="Y1999" s="6" t="s">
        <v>954</v>
      </c>
    </row>
    <row r="2000">
      <c r="Y2000" s="6" t="s">
        <v>954</v>
      </c>
    </row>
    <row r="2001">
      <c r="Y2001" s="6" t="s">
        <v>954</v>
      </c>
    </row>
    <row r="2002">
      <c r="Y2002" s="6" t="s">
        <v>954</v>
      </c>
    </row>
    <row r="2003">
      <c r="Y2003" s="6" t="s">
        <v>954</v>
      </c>
    </row>
    <row r="2004">
      <c r="Y2004" s="6" t="s">
        <v>954</v>
      </c>
    </row>
    <row r="2005">
      <c r="Y2005" s="6" t="s">
        <v>954</v>
      </c>
    </row>
    <row r="2006">
      <c r="Y2006" s="6" t="s">
        <v>954</v>
      </c>
    </row>
    <row r="2007">
      <c r="Y2007" s="6" t="s">
        <v>954</v>
      </c>
    </row>
    <row r="2008">
      <c r="Y2008" s="6" t="s">
        <v>954</v>
      </c>
    </row>
    <row r="2009">
      <c r="Y2009" s="6" t="s">
        <v>954</v>
      </c>
    </row>
    <row r="2010">
      <c r="Y2010" s="6" t="s">
        <v>954</v>
      </c>
    </row>
    <row r="2011">
      <c r="Y2011" s="6" t="s">
        <v>954</v>
      </c>
    </row>
    <row r="2012">
      <c r="Y2012" s="6" t="s">
        <v>954</v>
      </c>
    </row>
    <row r="2013">
      <c r="Y2013" s="6" t="s">
        <v>954</v>
      </c>
    </row>
    <row r="2014">
      <c r="Y2014" s="6" t="s">
        <v>954</v>
      </c>
    </row>
    <row r="2015">
      <c r="Y2015" s="6" t="s">
        <v>954</v>
      </c>
    </row>
    <row r="2016">
      <c r="Y2016" s="6" t="s">
        <v>954</v>
      </c>
    </row>
    <row r="2017">
      <c r="Y2017" s="6" t="s">
        <v>954</v>
      </c>
    </row>
    <row r="2018">
      <c r="Y2018" s="6" t="s">
        <v>954</v>
      </c>
    </row>
    <row r="2019">
      <c r="Y2019" s="6" t="s">
        <v>954</v>
      </c>
    </row>
    <row r="2020">
      <c r="Y2020" s="6" t="s">
        <v>954</v>
      </c>
    </row>
    <row r="2021">
      <c r="Y2021" s="6" t="s">
        <v>954</v>
      </c>
    </row>
    <row r="2022">
      <c r="Y2022" s="6" t="s">
        <v>954</v>
      </c>
    </row>
    <row r="2023">
      <c r="Y2023" s="6" t="s">
        <v>954</v>
      </c>
    </row>
    <row r="2024">
      <c r="Y2024" s="6" t="s">
        <v>954</v>
      </c>
    </row>
    <row r="2025">
      <c r="Y2025" s="6" t="s">
        <v>954</v>
      </c>
    </row>
    <row r="2026">
      <c r="Y2026" s="6" t="s">
        <v>954</v>
      </c>
    </row>
    <row r="2027">
      <c r="Y2027" s="6" t="s">
        <v>954</v>
      </c>
    </row>
    <row r="2028">
      <c r="Y2028" s="6" t="s">
        <v>954</v>
      </c>
    </row>
    <row r="2029">
      <c r="Y2029" s="6" t="s">
        <v>954</v>
      </c>
    </row>
    <row r="2030">
      <c r="Y2030" s="6" t="s">
        <v>954</v>
      </c>
    </row>
    <row r="2031">
      <c r="Y2031" s="6" t="s">
        <v>954</v>
      </c>
    </row>
    <row r="2032">
      <c r="Y2032" s="6" t="s">
        <v>954</v>
      </c>
    </row>
    <row r="2033">
      <c r="Y2033" s="6" t="s">
        <v>954</v>
      </c>
    </row>
    <row r="2034">
      <c r="Y2034" s="6" t="s">
        <v>954</v>
      </c>
    </row>
    <row r="2035">
      <c r="Y2035" s="6" t="s">
        <v>954</v>
      </c>
    </row>
    <row r="2036">
      <c r="Y2036" s="6" t="s">
        <v>954</v>
      </c>
    </row>
    <row r="2037">
      <c r="Y2037" s="6" t="s">
        <v>954</v>
      </c>
    </row>
    <row r="2038">
      <c r="Y2038" s="6" t="s">
        <v>954</v>
      </c>
    </row>
    <row r="2039">
      <c r="Y2039" s="6" t="s">
        <v>954</v>
      </c>
    </row>
    <row r="2040">
      <c r="Y2040" s="6" t="s">
        <v>954</v>
      </c>
    </row>
    <row r="2041">
      <c r="Y2041" s="6" t="s">
        <v>954</v>
      </c>
    </row>
    <row r="2042">
      <c r="Y2042" s="6" t="s">
        <v>954</v>
      </c>
    </row>
    <row r="2043">
      <c r="Y2043" s="6" t="s">
        <v>954</v>
      </c>
    </row>
    <row r="2044">
      <c r="Y2044" s="6" t="s">
        <v>954</v>
      </c>
    </row>
    <row r="2045">
      <c r="Y2045" s="6" t="s">
        <v>954</v>
      </c>
    </row>
    <row r="2046">
      <c r="Y2046" s="6" t="s">
        <v>954</v>
      </c>
    </row>
    <row r="2047">
      <c r="Y2047" s="6" t="s">
        <v>954</v>
      </c>
    </row>
    <row r="2048">
      <c r="Y2048" s="6" t="s">
        <v>954</v>
      </c>
    </row>
    <row r="2049">
      <c r="Y2049" s="6" t="s">
        <v>954</v>
      </c>
    </row>
    <row r="2050">
      <c r="Y2050" s="6" t="s">
        <v>954</v>
      </c>
    </row>
    <row r="2051">
      <c r="Y2051" s="6" t="s">
        <v>954</v>
      </c>
    </row>
    <row r="2052">
      <c r="Y2052" s="6" t="s">
        <v>954</v>
      </c>
    </row>
    <row r="2053">
      <c r="Y2053" s="6" t="s">
        <v>954</v>
      </c>
    </row>
    <row r="2054">
      <c r="Y2054" s="6" t="s">
        <v>954</v>
      </c>
    </row>
    <row r="2055">
      <c r="Y2055" s="6" t="s">
        <v>954</v>
      </c>
    </row>
    <row r="2056">
      <c r="Y2056" s="6" t="s">
        <v>954</v>
      </c>
    </row>
    <row r="2057">
      <c r="Y2057" s="6" t="s">
        <v>954</v>
      </c>
    </row>
    <row r="2058">
      <c r="Y2058" s="6" t="s">
        <v>954</v>
      </c>
    </row>
    <row r="2059">
      <c r="Y2059" s="6" t="s">
        <v>954</v>
      </c>
    </row>
    <row r="2060">
      <c r="Y2060" s="6" t="s">
        <v>954</v>
      </c>
    </row>
    <row r="2061">
      <c r="Y2061" s="6" t="s">
        <v>954</v>
      </c>
    </row>
    <row r="2062">
      <c r="Y2062" s="6" t="s">
        <v>954</v>
      </c>
    </row>
    <row r="2063">
      <c r="Y2063" s="6" t="s">
        <v>954</v>
      </c>
    </row>
    <row r="2064">
      <c r="Y2064" s="6" t="s">
        <v>954</v>
      </c>
    </row>
    <row r="2065">
      <c r="Y2065" s="6" t="s">
        <v>954</v>
      </c>
    </row>
    <row r="2066">
      <c r="Y2066" s="6" t="s">
        <v>954</v>
      </c>
    </row>
    <row r="2067">
      <c r="Y2067" s="6" t="s">
        <v>954</v>
      </c>
    </row>
    <row r="2068">
      <c r="Y2068" s="6" t="s">
        <v>954</v>
      </c>
    </row>
    <row r="2069">
      <c r="Y2069" s="6" t="s">
        <v>954</v>
      </c>
    </row>
    <row r="2070">
      <c r="Y2070" s="6" t="s">
        <v>954</v>
      </c>
    </row>
    <row r="2071">
      <c r="Y2071" s="6" t="s">
        <v>954</v>
      </c>
    </row>
    <row r="2072">
      <c r="Y2072" s="6" t="s">
        <v>954</v>
      </c>
    </row>
    <row r="2073">
      <c r="Y2073" s="6" t="s">
        <v>954</v>
      </c>
    </row>
    <row r="2074">
      <c r="Y2074" s="6" t="s">
        <v>954</v>
      </c>
    </row>
    <row r="2075">
      <c r="Y2075" s="6" t="s">
        <v>954</v>
      </c>
    </row>
    <row r="2076">
      <c r="Y2076" s="6" t="s">
        <v>954</v>
      </c>
    </row>
    <row r="2077">
      <c r="Y2077" s="6" t="s">
        <v>954</v>
      </c>
    </row>
    <row r="2078">
      <c r="Y2078" s="6" t="s">
        <v>954</v>
      </c>
    </row>
    <row r="2079">
      <c r="Y2079" s="6" t="s">
        <v>954</v>
      </c>
    </row>
    <row r="2080">
      <c r="Y2080" s="6" t="s">
        <v>954</v>
      </c>
    </row>
    <row r="2081">
      <c r="Y2081" s="6" t="s">
        <v>954</v>
      </c>
    </row>
    <row r="2082">
      <c r="Y2082" s="6" t="s">
        <v>954</v>
      </c>
    </row>
    <row r="2083">
      <c r="Y2083" s="6" t="s">
        <v>954</v>
      </c>
    </row>
    <row r="2084">
      <c r="Y2084" s="6" t="s">
        <v>954</v>
      </c>
    </row>
    <row r="2085">
      <c r="Y2085" s="6" t="s">
        <v>954</v>
      </c>
    </row>
    <row r="2086">
      <c r="Y2086" s="6" t="s">
        <v>954</v>
      </c>
    </row>
    <row r="2087">
      <c r="Y2087" s="6" t="s">
        <v>954</v>
      </c>
    </row>
    <row r="2088">
      <c r="Y2088" s="6" t="s">
        <v>954</v>
      </c>
    </row>
    <row r="2089">
      <c r="Y2089" s="6" t="s">
        <v>954</v>
      </c>
    </row>
    <row r="2090">
      <c r="Y2090" s="6" t="s">
        <v>954</v>
      </c>
    </row>
    <row r="2091">
      <c r="Y2091" s="6" t="s">
        <v>954</v>
      </c>
    </row>
    <row r="2092">
      <c r="Y2092" s="6" t="s">
        <v>954</v>
      </c>
    </row>
    <row r="2093">
      <c r="Y2093" s="6" t="s">
        <v>954</v>
      </c>
    </row>
    <row r="2094">
      <c r="Y2094" s="6" t="s">
        <v>954</v>
      </c>
    </row>
    <row r="2095">
      <c r="Y2095" s="6" t="s">
        <v>954</v>
      </c>
    </row>
    <row r="2096">
      <c r="Y2096" s="6" t="s">
        <v>954</v>
      </c>
    </row>
    <row r="2097">
      <c r="Y2097" s="6" t="s">
        <v>954</v>
      </c>
    </row>
    <row r="2098">
      <c r="Y2098" s="6" t="s">
        <v>954</v>
      </c>
    </row>
    <row r="2099">
      <c r="Y2099" s="6" t="s">
        <v>954</v>
      </c>
    </row>
    <row r="2100">
      <c r="Y2100" s="6" t="s">
        <v>954</v>
      </c>
    </row>
    <row r="2101">
      <c r="Y2101" s="6" t="s">
        <v>954</v>
      </c>
    </row>
    <row r="2102">
      <c r="Y2102" s="6" t="s">
        <v>954</v>
      </c>
    </row>
    <row r="2103">
      <c r="Y2103" s="6" t="s">
        <v>954</v>
      </c>
    </row>
    <row r="2104">
      <c r="Y2104" s="6" t="s">
        <v>954</v>
      </c>
    </row>
    <row r="2105">
      <c r="Y2105" s="6" t="s">
        <v>954</v>
      </c>
    </row>
    <row r="2106">
      <c r="Y2106" s="6" t="s">
        <v>954</v>
      </c>
    </row>
    <row r="2107">
      <c r="Y2107" s="6" t="s">
        <v>954</v>
      </c>
    </row>
    <row r="2108">
      <c r="Y2108" s="6" t="s">
        <v>954</v>
      </c>
    </row>
    <row r="2109">
      <c r="Y2109" s="6" t="s">
        <v>954</v>
      </c>
    </row>
    <row r="2110">
      <c r="Y2110" s="6" t="s">
        <v>954</v>
      </c>
    </row>
    <row r="2111">
      <c r="Y2111" s="6" t="s">
        <v>954</v>
      </c>
    </row>
    <row r="2112">
      <c r="Y2112" s="6" t="s">
        <v>954</v>
      </c>
    </row>
    <row r="2113">
      <c r="Y2113" s="6" t="s">
        <v>954</v>
      </c>
    </row>
    <row r="2114">
      <c r="Y2114" s="6" t="s">
        <v>954</v>
      </c>
    </row>
    <row r="2115">
      <c r="Y2115" s="6" t="s">
        <v>954</v>
      </c>
    </row>
    <row r="2116">
      <c r="Y2116" s="6" t="s">
        <v>954</v>
      </c>
    </row>
    <row r="2117">
      <c r="Y2117" s="6" t="s">
        <v>954</v>
      </c>
    </row>
    <row r="2118">
      <c r="Y2118" s="6" t="s">
        <v>954</v>
      </c>
    </row>
    <row r="2119">
      <c r="Y2119" s="6" t="s">
        <v>954</v>
      </c>
    </row>
    <row r="2120">
      <c r="Y2120" s="6" t="s">
        <v>954</v>
      </c>
    </row>
    <row r="2121">
      <c r="Y2121" s="6" t="s">
        <v>954</v>
      </c>
    </row>
    <row r="2122">
      <c r="Y2122" s="6" t="s">
        <v>954</v>
      </c>
    </row>
    <row r="2123">
      <c r="Y2123" s="6" t="s">
        <v>954</v>
      </c>
    </row>
    <row r="2124">
      <c r="Y2124" s="6" t="s">
        <v>954</v>
      </c>
    </row>
    <row r="2125">
      <c r="Y2125" s="6" t="s">
        <v>954</v>
      </c>
    </row>
    <row r="2126">
      <c r="Y2126" s="6" t="s">
        <v>954</v>
      </c>
    </row>
    <row r="2127">
      <c r="Y2127" s="6" t="s">
        <v>954</v>
      </c>
    </row>
    <row r="2128">
      <c r="Y2128" s="6" t="s">
        <v>954</v>
      </c>
    </row>
    <row r="2129">
      <c r="Y2129" s="6" t="s">
        <v>954</v>
      </c>
    </row>
    <row r="2130">
      <c r="Y2130" s="6" t="s">
        <v>954</v>
      </c>
    </row>
    <row r="2131">
      <c r="Y2131" s="6" t="s">
        <v>954</v>
      </c>
    </row>
    <row r="2132">
      <c r="Y2132" s="6" t="s">
        <v>954</v>
      </c>
    </row>
    <row r="2133">
      <c r="Y2133" s="6" t="s">
        <v>954</v>
      </c>
    </row>
    <row r="2134">
      <c r="Y2134" s="6" t="s">
        <v>954</v>
      </c>
    </row>
    <row r="2135">
      <c r="Y2135" s="6" t="s">
        <v>954</v>
      </c>
    </row>
    <row r="2136">
      <c r="Y2136" s="6" t="s">
        <v>954</v>
      </c>
    </row>
    <row r="2137">
      <c r="Y2137" s="6" t="s">
        <v>954</v>
      </c>
    </row>
    <row r="2138">
      <c r="Y2138" s="6" t="s">
        <v>954</v>
      </c>
    </row>
    <row r="2139">
      <c r="Y2139" s="6" t="s">
        <v>954</v>
      </c>
    </row>
    <row r="2140">
      <c r="Y2140" s="6" t="s">
        <v>954</v>
      </c>
    </row>
    <row r="2141">
      <c r="Y2141" s="6" t="s">
        <v>954</v>
      </c>
    </row>
    <row r="2142">
      <c r="Y2142" s="6" t="s">
        <v>954</v>
      </c>
    </row>
    <row r="2143">
      <c r="Y2143" s="6" t="s">
        <v>954</v>
      </c>
    </row>
    <row r="2144">
      <c r="Y2144" s="6" t="s">
        <v>954</v>
      </c>
    </row>
    <row r="2145">
      <c r="Y2145" s="6" t="s">
        <v>954</v>
      </c>
    </row>
    <row r="2146">
      <c r="Y2146" s="6" t="s">
        <v>954</v>
      </c>
    </row>
    <row r="2147">
      <c r="Y2147" s="6" t="s">
        <v>954</v>
      </c>
    </row>
    <row r="2148">
      <c r="Y2148" s="6" t="s">
        <v>954</v>
      </c>
    </row>
    <row r="2149">
      <c r="Y2149" s="6" t="s">
        <v>954</v>
      </c>
    </row>
    <row r="2150">
      <c r="Y2150" s="6" t="s">
        <v>954</v>
      </c>
    </row>
    <row r="2151">
      <c r="Y2151" s="6" t="s">
        <v>954</v>
      </c>
    </row>
    <row r="2152">
      <c r="Y2152" s="6" t="s">
        <v>954</v>
      </c>
    </row>
    <row r="2153">
      <c r="Y2153" s="6" t="s">
        <v>954</v>
      </c>
    </row>
    <row r="2154">
      <c r="Y2154" s="6" t="s">
        <v>954</v>
      </c>
    </row>
    <row r="2155">
      <c r="Y2155" s="6" t="s">
        <v>954</v>
      </c>
    </row>
    <row r="2156">
      <c r="Y2156" s="6" t="s">
        <v>954</v>
      </c>
    </row>
    <row r="2157">
      <c r="Y2157" s="6" t="s">
        <v>954</v>
      </c>
    </row>
    <row r="2158">
      <c r="Y2158" s="6" t="s">
        <v>954</v>
      </c>
    </row>
    <row r="2159">
      <c r="Y2159" s="6" t="s">
        <v>954</v>
      </c>
    </row>
    <row r="2160">
      <c r="Y2160" s="6" t="s">
        <v>954</v>
      </c>
    </row>
    <row r="2161">
      <c r="Y2161" s="6" t="s">
        <v>954</v>
      </c>
    </row>
    <row r="2162">
      <c r="Y2162" s="6" t="s">
        <v>954</v>
      </c>
    </row>
    <row r="2163">
      <c r="Y2163" s="6" t="s">
        <v>954</v>
      </c>
    </row>
    <row r="2164">
      <c r="Y2164" s="6" t="s">
        <v>954</v>
      </c>
    </row>
    <row r="2165">
      <c r="Y2165" s="6" t="s">
        <v>954</v>
      </c>
    </row>
    <row r="2166">
      <c r="Y2166" s="6" t="s">
        <v>954</v>
      </c>
    </row>
    <row r="2167">
      <c r="Y2167" s="6" t="s">
        <v>954</v>
      </c>
    </row>
    <row r="2168">
      <c r="Y2168" s="6" t="s">
        <v>954</v>
      </c>
    </row>
    <row r="2169">
      <c r="Y2169" s="6" t="s">
        <v>954</v>
      </c>
    </row>
    <row r="2170">
      <c r="Y2170" s="6" t="s">
        <v>954</v>
      </c>
    </row>
    <row r="2171">
      <c r="Y2171" s="6" t="s">
        <v>954</v>
      </c>
    </row>
    <row r="2172">
      <c r="Y2172" s="6" t="s">
        <v>954</v>
      </c>
    </row>
    <row r="2173">
      <c r="Y2173" s="6" t="s">
        <v>954</v>
      </c>
    </row>
    <row r="2174">
      <c r="Y2174" s="6" t="s">
        <v>954</v>
      </c>
    </row>
    <row r="2175">
      <c r="Y2175" s="6" t="s">
        <v>954</v>
      </c>
    </row>
    <row r="2176">
      <c r="Y2176" s="6" t="s">
        <v>954</v>
      </c>
    </row>
    <row r="2177">
      <c r="Y2177" s="6" t="s">
        <v>954</v>
      </c>
    </row>
    <row r="2178">
      <c r="Y2178" s="6" t="s">
        <v>954</v>
      </c>
    </row>
    <row r="2179">
      <c r="Y2179" s="6" t="s">
        <v>954</v>
      </c>
    </row>
    <row r="2180">
      <c r="Y2180" s="6" t="s">
        <v>954</v>
      </c>
    </row>
    <row r="2181">
      <c r="Y2181" s="6" t="s">
        <v>954</v>
      </c>
    </row>
    <row r="2182">
      <c r="Y2182" s="6" t="s">
        <v>954</v>
      </c>
    </row>
    <row r="2183">
      <c r="Y2183" s="6" t="s">
        <v>954</v>
      </c>
    </row>
    <row r="2184">
      <c r="Y2184" s="6" t="s">
        <v>954</v>
      </c>
    </row>
    <row r="2185">
      <c r="Y2185" s="6" t="s">
        <v>954</v>
      </c>
    </row>
    <row r="2186">
      <c r="Y2186" s="6" t="s">
        <v>954</v>
      </c>
    </row>
    <row r="2187">
      <c r="Y2187" s="6" t="s">
        <v>954</v>
      </c>
    </row>
    <row r="2188">
      <c r="Y2188" s="6" t="s">
        <v>954</v>
      </c>
    </row>
    <row r="2189">
      <c r="Y2189" s="6" t="s">
        <v>954</v>
      </c>
    </row>
    <row r="2190">
      <c r="Y2190" s="6" t="s">
        <v>954</v>
      </c>
    </row>
    <row r="2191">
      <c r="Y2191" s="6" t="s">
        <v>954</v>
      </c>
    </row>
    <row r="2192">
      <c r="Y2192" s="6" t="s">
        <v>954</v>
      </c>
    </row>
    <row r="2193">
      <c r="Y2193" s="6" t="s">
        <v>954</v>
      </c>
    </row>
    <row r="2194">
      <c r="Y2194" s="6" t="s">
        <v>954</v>
      </c>
    </row>
    <row r="2195">
      <c r="Y2195" s="6" t="s">
        <v>954</v>
      </c>
    </row>
    <row r="2196">
      <c r="Y2196" s="6" t="s">
        <v>954</v>
      </c>
    </row>
    <row r="2197">
      <c r="Y2197" s="6" t="s">
        <v>954</v>
      </c>
    </row>
    <row r="2198">
      <c r="Y2198" s="6" t="s">
        <v>954</v>
      </c>
    </row>
    <row r="2199">
      <c r="Y2199" s="6" t="s">
        <v>954</v>
      </c>
    </row>
    <row r="2200">
      <c r="Y2200" s="6" t="s">
        <v>954</v>
      </c>
    </row>
    <row r="2201">
      <c r="Y2201" s="6" t="s">
        <v>954</v>
      </c>
    </row>
    <row r="2202">
      <c r="Y2202" s="6" t="s">
        <v>954</v>
      </c>
    </row>
    <row r="2203">
      <c r="Y2203" s="6" t="s">
        <v>954</v>
      </c>
    </row>
    <row r="2204">
      <c r="Y2204" s="6" t="s">
        <v>954</v>
      </c>
    </row>
    <row r="2205">
      <c r="Y2205" s="6" t="s">
        <v>954</v>
      </c>
    </row>
    <row r="2206">
      <c r="Y2206" s="6" t="s">
        <v>954</v>
      </c>
    </row>
    <row r="2207">
      <c r="Y2207" s="6" t="s">
        <v>954</v>
      </c>
    </row>
    <row r="2208">
      <c r="Y2208" s="6" t="s">
        <v>954</v>
      </c>
    </row>
    <row r="2209">
      <c r="Y2209" s="6" t="s">
        <v>954</v>
      </c>
    </row>
    <row r="2210">
      <c r="Y2210" s="6" t="s">
        <v>954</v>
      </c>
    </row>
    <row r="2211">
      <c r="Y2211" s="6" t="s">
        <v>954</v>
      </c>
    </row>
    <row r="2212">
      <c r="Y2212" s="6" t="s">
        <v>954</v>
      </c>
    </row>
    <row r="2213">
      <c r="Y2213" s="6" t="s">
        <v>954</v>
      </c>
    </row>
    <row r="2214">
      <c r="Y2214" s="6" t="s">
        <v>954</v>
      </c>
    </row>
    <row r="2215">
      <c r="Y2215" s="6" t="s">
        <v>954</v>
      </c>
    </row>
    <row r="2216">
      <c r="Y2216" s="6" t="s">
        <v>954</v>
      </c>
    </row>
    <row r="2217">
      <c r="Y2217" s="6" t="s">
        <v>954</v>
      </c>
    </row>
    <row r="2218">
      <c r="Y2218" s="6" t="s">
        <v>954</v>
      </c>
    </row>
    <row r="2219">
      <c r="Y2219" s="6" t="s">
        <v>954</v>
      </c>
    </row>
    <row r="2220">
      <c r="Y2220" s="6" t="s">
        <v>954</v>
      </c>
    </row>
    <row r="2221">
      <c r="Y2221" s="6" t="s">
        <v>954</v>
      </c>
    </row>
    <row r="2222">
      <c r="Y2222" s="6" t="s">
        <v>954</v>
      </c>
    </row>
    <row r="2223">
      <c r="Y2223" s="6" t="s">
        <v>954</v>
      </c>
    </row>
    <row r="2224">
      <c r="Y2224" s="6" t="s">
        <v>954</v>
      </c>
    </row>
    <row r="2225">
      <c r="Y2225" s="6" t="s">
        <v>954</v>
      </c>
    </row>
    <row r="2226">
      <c r="Y2226" s="6" t="s">
        <v>954</v>
      </c>
    </row>
    <row r="2227">
      <c r="Y2227" s="6" t="s">
        <v>954</v>
      </c>
    </row>
    <row r="2228">
      <c r="Y2228" s="6" t="s">
        <v>954</v>
      </c>
    </row>
    <row r="2229">
      <c r="Y2229" s="6" t="s">
        <v>954</v>
      </c>
    </row>
    <row r="2230">
      <c r="Y2230" s="6" t="s">
        <v>954</v>
      </c>
    </row>
    <row r="2231">
      <c r="Y2231" s="6" t="s">
        <v>954</v>
      </c>
    </row>
    <row r="2232">
      <c r="Y2232" s="6" t="s">
        <v>954</v>
      </c>
    </row>
    <row r="2233">
      <c r="Y2233" s="6" t="s">
        <v>954</v>
      </c>
    </row>
    <row r="2234">
      <c r="Y2234" s="6" t="s">
        <v>954</v>
      </c>
    </row>
    <row r="2235">
      <c r="Y2235" s="6" t="s">
        <v>954</v>
      </c>
    </row>
    <row r="2236">
      <c r="Y2236" s="6" t="s">
        <v>954</v>
      </c>
    </row>
    <row r="2237">
      <c r="Y2237" s="6" t="s">
        <v>954</v>
      </c>
    </row>
    <row r="2238">
      <c r="Y2238" s="6" t="s">
        <v>954</v>
      </c>
    </row>
    <row r="2239">
      <c r="Y2239" s="6" t="s">
        <v>954</v>
      </c>
    </row>
    <row r="2240">
      <c r="Y2240" s="6" t="s">
        <v>954</v>
      </c>
    </row>
    <row r="2241">
      <c r="Y2241" s="6" t="s">
        <v>954</v>
      </c>
    </row>
    <row r="2242">
      <c r="Y2242" s="6" t="s">
        <v>954</v>
      </c>
    </row>
    <row r="2243">
      <c r="Y2243" s="6" t="s">
        <v>954</v>
      </c>
    </row>
    <row r="2244">
      <c r="Y2244" s="6" t="s">
        <v>954</v>
      </c>
    </row>
    <row r="2245">
      <c r="Y2245" s="6" t="s">
        <v>954</v>
      </c>
    </row>
    <row r="2246">
      <c r="Y2246" s="6" t="s">
        <v>954</v>
      </c>
    </row>
    <row r="2247">
      <c r="Y2247" s="6" t="s">
        <v>954</v>
      </c>
    </row>
    <row r="2248">
      <c r="Y2248" s="6" t="s">
        <v>954</v>
      </c>
    </row>
    <row r="2249">
      <c r="Y2249" s="6" t="s">
        <v>954</v>
      </c>
    </row>
    <row r="2250">
      <c r="Y2250" s="6" t="s">
        <v>954</v>
      </c>
    </row>
    <row r="2251">
      <c r="Y2251" s="6" t="s">
        <v>954</v>
      </c>
    </row>
    <row r="2252">
      <c r="Y2252" s="6" t="s">
        <v>954</v>
      </c>
    </row>
    <row r="2253">
      <c r="Y2253" s="6" t="s">
        <v>954</v>
      </c>
    </row>
    <row r="2254">
      <c r="Y2254" s="6" t="s">
        <v>954</v>
      </c>
    </row>
    <row r="2255">
      <c r="Y2255" s="6" t="s">
        <v>954</v>
      </c>
    </row>
    <row r="2256">
      <c r="Y2256" s="6" t="s">
        <v>954</v>
      </c>
    </row>
    <row r="2257">
      <c r="Y2257" s="6" t="s">
        <v>954</v>
      </c>
    </row>
    <row r="2258">
      <c r="Y2258" s="6" t="s">
        <v>954</v>
      </c>
    </row>
    <row r="2259">
      <c r="Y2259" s="6" t="s">
        <v>954</v>
      </c>
    </row>
    <row r="2260">
      <c r="Y2260" s="6" t="s">
        <v>954</v>
      </c>
    </row>
    <row r="2261">
      <c r="Y2261" s="6" t="s">
        <v>954</v>
      </c>
    </row>
    <row r="2262">
      <c r="Y2262" s="6" t="s">
        <v>954</v>
      </c>
    </row>
    <row r="2263">
      <c r="Y2263" s="6" t="s">
        <v>954</v>
      </c>
    </row>
    <row r="2264">
      <c r="Y2264" s="6" t="s">
        <v>954</v>
      </c>
    </row>
    <row r="2265">
      <c r="Y2265" s="6" t="s">
        <v>954</v>
      </c>
    </row>
    <row r="2266">
      <c r="Y2266" s="6" t="s">
        <v>954</v>
      </c>
    </row>
    <row r="2267">
      <c r="Y2267" s="6" t="s">
        <v>954</v>
      </c>
    </row>
    <row r="2268">
      <c r="Y2268" s="6" t="s">
        <v>954</v>
      </c>
    </row>
    <row r="2269">
      <c r="Y2269" s="6" t="s">
        <v>954</v>
      </c>
    </row>
    <row r="2270">
      <c r="Y2270" s="6" t="s">
        <v>954</v>
      </c>
    </row>
    <row r="2271">
      <c r="Y2271" s="6" t="s">
        <v>954</v>
      </c>
    </row>
    <row r="2272">
      <c r="Y2272" s="6" t="s">
        <v>954</v>
      </c>
    </row>
    <row r="2273">
      <c r="Y2273" s="6" t="s">
        <v>954</v>
      </c>
    </row>
    <row r="2274">
      <c r="Y2274" s="6" t="s">
        <v>954</v>
      </c>
    </row>
    <row r="2275">
      <c r="Y2275" s="6" t="s">
        <v>954</v>
      </c>
    </row>
    <row r="2276">
      <c r="Y2276" s="6" t="s">
        <v>954</v>
      </c>
    </row>
    <row r="2277">
      <c r="Y2277" s="6" t="s">
        <v>954</v>
      </c>
    </row>
    <row r="2278">
      <c r="Y2278" s="6" t="s">
        <v>954</v>
      </c>
    </row>
    <row r="2279">
      <c r="Y2279" s="6" t="s">
        <v>954</v>
      </c>
    </row>
    <row r="2280">
      <c r="Y2280" s="6" t="s">
        <v>954</v>
      </c>
    </row>
    <row r="2281">
      <c r="Y2281" s="6" t="s">
        <v>954</v>
      </c>
    </row>
    <row r="2282">
      <c r="Y2282" s="6" t="s">
        <v>954</v>
      </c>
    </row>
    <row r="2283">
      <c r="Y2283" s="6" t="s">
        <v>954</v>
      </c>
    </row>
    <row r="2284">
      <c r="Y2284" s="6" t="s">
        <v>954</v>
      </c>
    </row>
    <row r="2285">
      <c r="Y2285" s="6" t="s">
        <v>954</v>
      </c>
    </row>
    <row r="2286">
      <c r="Y2286" s="6" t="s">
        <v>954</v>
      </c>
    </row>
    <row r="2287">
      <c r="Y2287" s="6" t="s">
        <v>954</v>
      </c>
    </row>
    <row r="2288">
      <c r="Y2288" s="6" t="s">
        <v>954</v>
      </c>
    </row>
    <row r="2289">
      <c r="Y2289" s="6" t="s">
        <v>954</v>
      </c>
    </row>
    <row r="2290">
      <c r="Y2290" s="6" t="s">
        <v>954</v>
      </c>
    </row>
    <row r="2291">
      <c r="Y2291" s="6" t="s">
        <v>954</v>
      </c>
    </row>
    <row r="2292">
      <c r="Y2292" s="6" t="s">
        <v>954</v>
      </c>
    </row>
    <row r="2293">
      <c r="Y2293" s="6" t="s">
        <v>954</v>
      </c>
    </row>
    <row r="2294">
      <c r="Y2294" s="6" t="s">
        <v>954</v>
      </c>
    </row>
    <row r="2295">
      <c r="Y2295" s="6" t="s">
        <v>954</v>
      </c>
    </row>
    <row r="2296">
      <c r="Y2296" s="6" t="s">
        <v>954</v>
      </c>
    </row>
    <row r="2297">
      <c r="Y2297" s="6" t="s">
        <v>954</v>
      </c>
    </row>
    <row r="2298">
      <c r="Y2298" s="6" t="s">
        <v>954</v>
      </c>
    </row>
    <row r="2299">
      <c r="Y2299" s="6" t="s">
        <v>954</v>
      </c>
    </row>
    <row r="2300">
      <c r="Y2300" s="6" t="s">
        <v>954</v>
      </c>
    </row>
    <row r="2301">
      <c r="Y2301" s="6" t="s">
        <v>954</v>
      </c>
    </row>
    <row r="2302">
      <c r="Y2302" s="6" t="s">
        <v>954</v>
      </c>
    </row>
    <row r="2303">
      <c r="Y2303" s="6" t="s">
        <v>954</v>
      </c>
    </row>
    <row r="2304">
      <c r="Y2304" s="6" t="s">
        <v>954</v>
      </c>
    </row>
    <row r="2305">
      <c r="Y2305" s="6" t="s">
        <v>954</v>
      </c>
    </row>
    <row r="2306">
      <c r="Y2306" s="6" t="s">
        <v>954</v>
      </c>
    </row>
    <row r="2307">
      <c r="Y2307" s="6" t="s">
        <v>954</v>
      </c>
    </row>
    <row r="2308">
      <c r="Y2308" s="6" t="s">
        <v>954</v>
      </c>
    </row>
    <row r="2309">
      <c r="Y2309" s="6" t="s">
        <v>954</v>
      </c>
    </row>
    <row r="2310">
      <c r="Y2310" s="6" t="s">
        <v>954</v>
      </c>
    </row>
    <row r="2311">
      <c r="Y2311" s="6" t="s">
        <v>954</v>
      </c>
    </row>
    <row r="2312">
      <c r="Y2312" s="6" t="s">
        <v>954</v>
      </c>
    </row>
    <row r="2313">
      <c r="Y2313" s="6" t="s">
        <v>954</v>
      </c>
    </row>
    <row r="2314">
      <c r="Y2314" s="6" t="s">
        <v>954</v>
      </c>
    </row>
    <row r="2315">
      <c r="Y2315" s="6" t="s">
        <v>954</v>
      </c>
    </row>
    <row r="2316">
      <c r="Y2316" s="6" t="s">
        <v>954</v>
      </c>
    </row>
    <row r="2317">
      <c r="Y2317" s="6" t="s">
        <v>954</v>
      </c>
    </row>
    <row r="2318">
      <c r="Y2318" s="6" t="s">
        <v>954</v>
      </c>
    </row>
    <row r="2319">
      <c r="Y2319" s="6" t="s">
        <v>954</v>
      </c>
    </row>
    <row r="2320">
      <c r="Y2320" s="6" t="s">
        <v>954</v>
      </c>
    </row>
    <row r="2321">
      <c r="Y2321" s="6" t="s">
        <v>954</v>
      </c>
    </row>
    <row r="2322">
      <c r="Y2322" s="6" t="s">
        <v>954</v>
      </c>
    </row>
    <row r="2323">
      <c r="Y2323" s="6" t="s">
        <v>954</v>
      </c>
    </row>
    <row r="2324">
      <c r="Y2324" s="6" t="s">
        <v>954</v>
      </c>
    </row>
    <row r="2325">
      <c r="Y2325" s="6" t="s">
        <v>954</v>
      </c>
    </row>
    <row r="2326">
      <c r="Y2326" s="6" t="s">
        <v>954</v>
      </c>
    </row>
    <row r="2327">
      <c r="Y2327" s="6" t="s">
        <v>954</v>
      </c>
    </row>
    <row r="2328">
      <c r="Y2328" s="6" t="s">
        <v>954</v>
      </c>
    </row>
    <row r="2329">
      <c r="Y2329" s="6" t="s">
        <v>954</v>
      </c>
    </row>
    <row r="2330">
      <c r="Y2330" s="6" t="s">
        <v>954</v>
      </c>
    </row>
    <row r="2331">
      <c r="Y2331" s="6" t="s">
        <v>954</v>
      </c>
    </row>
    <row r="2332">
      <c r="Y2332" s="6" t="s">
        <v>954</v>
      </c>
    </row>
    <row r="2333">
      <c r="Y2333" s="6" t="s">
        <v>954</v>
      </c>
    </row>
    <row r="2334">
      <c r="Y2334" s="6" t="s">
        <v>954</v>
      </c>
    </row>
    <row r="2335">
      <c r="Y2335" s="6" t="s">
        <v>954</v>
      </c>
    </row>
    <row r="2336">
      <c r="Y2336" s="6" t="s">
        <v>954</v>
      </c>
    </row>
    <row r="2337">
      <c r="Y2337" s="6" t="s">
        <v>954</v>
      </c>
    </row>
    <row r="2338">
      <c r="Y2338" s="6" t="s">
        <v>954</v>
      </c>
    </row>
    <row r="2339">
      <c r="Y2339" s="6" t="s">
        <v>954</v>
      </c>
    </row>
    <row r="2340">
      <c r="Y2340" s="6" t="s">
        <v>954</v>
      </c>
    </row>
    <row r="2341">
      <c r="Y2341" s="6" t="s">
        <v>954</v>
      </c>
    </row>
    <row r="2342">
      <c r="Y2342" s="6" t="s">
        <v>954</v>
      </c>
    </row>
    <row r="2343">
      <c r="Y2343" s="6" t="s">
        <v>954</v>
      </c>
    </row>
    <row r="2344">
      <c r="Y2344" s="6" t="s">
        <v>954</v>
      </c>
    </row>
    <row r="2345">
      <c r="Y2345" s="6" t="s">
        <v>954</v>
      </c>
    </row>
    <row r="2346">
      <c r="Y2346" s="6" t="s">
        <v>954</v>
      </c>
    </row>
    <row r="2347">
      <c r="Y2347" s="6" t="s">
        <v>954</v>
      </c>
    </row>
    <row r="2348">
      <c r="Y2348" s="6" t="s">
        <v>954</v>
      </c>
    </row>
    <row r="2349">
      <c r="Y2349" s="6" t="s">
        <v>954</v>
      </c>
    </row>
    <row r="2350">
      <c r="Y2350" s="6" t="s">
        <v>954</v>
      </c>
    </row>
    <row r="2351">
      <c r="Y2351" s="6" t="s">
        <v>954</v>
      </c>
    </row>
    <row r="2352">
      <c r="Y2352" s="6" t="s">
        <v>954</v>
      </c>
    </row>
    <row r="2353">
      <c r="Y2353" s="6" t="s">
        <v>954</v>
      </c>
    </row>
    <row r="2354">
      <c r="Y2354" s="6" t="s">
        <v>954</v>
      </c>
    </row>
    <row r="2355">
      <c r="Y2355" s="6" t="s">
        <v>954</v>
      </c>
    </row>
    <row r="2356">
      <c r="Y2356" s="6" t="s">
        <v>954</v>
      </c>
    </row>
    <row r="2357">
      <c r="Y2357" s="6" t="s">
        <v>954</v>
      </c>
    </row>
    <row r="2358">
      <c r="Y2358" s="6" t="s">
        <v>954</v>
      </c>
    </row>
    <row r="2359">
      <c r="Y2359" s="6" t="s">
        <v>954</v>
      </c>
    </row>
    <row r="2360">
      <c r="Y2360" s="6" t="s">
        <v>954</v>
      </c>
    </row>
    <row r="2361">
      <c r="Y2361" s="6" t="s">
        <v>954</v>
      </c>
    </row>
    <row r="2362">
      <c r="Y2362" s="6" t="s">
        <v>954</v>
      </c>
    </row>
    <row r="2363">
      <c r="Y2363" s="6" t="s">
        <v>954</v>
      </c>
    </row>
    <row r="2364">
      <c r="Y2364" s="6" t="s">
        <v>954</v>
      </c>
    </row>
    <row r="2365">
      <c r="Y2365" s="6" t="s">
        <v>954</v>
      </c>
    </row>
    <row r="2366">
      <c r="Y2366" s="6" t="s">
        <v>954</v>
      </c>
    </row>
    <row r="2367">
      <c r="Y2367" s="6" t="s">
        <v>954</v>
      </c>
    </row>
    <row r="2368">
      <c r="Y2368" s="6" t="s">
        <v>954</v>
      </c>
    </row>
    <row r="2369">
      <c r="Y2369" s="6" t="s">
        <v>954</v>
      </c>
    </row>
    <row r="2370">
      <c r="Y2370" s="6" t="s">
        <v>954</v>
      </c>
    </row>
    <row r="2371">
      <c r="Y2371" s="6" t="s">
        <v>954</v>
      </c>
    </row>
    <row r="2372">
      <c r="Y2372" s="6" t="s">
        <v>954</v>
      </c>
    </row>
    <row r="2373">
      <c r="Y2373" s="6" t="s">
        <v>954</v>
      </c>
    </row>
    <row r="2374">
      <c r="Y2374" s="6" t="s">
        <v>954</v>
      </c>
    </row>
    <row r="2375">
      <c r="Y2375" s="6" t="s">
        <v>954</v>
      </c>
    </row>
    <row r="2376">
      <c r="Y2376" s="6" t="s">
        <v>954</v>
      </c>
    </row>
    <row r="2377">
      <c r="Y2377" s="6" t="s">
        <v>954</v>
      </c>
    </row>
    <row r="2378">
      <c r="Y2378" s="6" t="s">
        <v>954</v>
      </c>
    </row>
    <row r="2379">
      <c r="Y2379" s="6" t="s">
        <v>954</v>
      </c>
    </row>
    <row r="2380">
      <c r="Y2380" s="6" t="s">
        <v>954</v>
      </c>
    </row>
    <row r="2381">
      <c r="Y2381" s="6" t="s">
        <v>954</v>
      </c>
    </row>
    <row r="2382">
      <c r="Y2382" s="6" t="s">
        <v>954</v>
      </c>
    </row>
    <row r="2383">
      <c r="Y2383" s="6" t="s">
        <v>954</v>
      </c>
    </row>
    <row r="2384">
      <c r="Y2384" s="6" t="s">
        <v>954</v>
      </c>
    </row>
    <row r="2385">
      <c r="Y2385" s="6" t="s">
        <v>954</v>
      </c>
    </row>
    <row r="2386">
      <c r="Y2386" s="6" t="s">
        <v>954</v>
      </c>
    </row>
    <row r="2387">
      <c r="Y2387" s="6" t="s">
        <v>954</v>
      </c>
    </row>
    <row r="2388">
      <c r="Y2388" s="6" t="s">
        <v>954</v>
      </c>
    </row>
    <row r="2389">
      <c r="Y2389" s="6" t="s">
        <v>954</v>
      </c>
    </row>
    <row r="2390">
      <c r="Y2390" s="6" t="s">
        <v>954</v>
      </c>
    </row>
    <row r="2391">
      <c r="Y2391" s="6" t="s">
        <v>954</v>
      </c>
    </row>
    <row r="2392">
      <c r="Y2392" s="6" t="s">
        <v>954</v>
      </c>
    </row>
    <row r="2393">
      <c r="Y2393" s="6" t="s">
        <v>954</v>
      </c>
    </row>
    <row r="2394">
      <c r="Y2394" s="6" t="s">
        <v>954</v>
      </c>
    </row>
    <row r="2395">
      <c r="Y2395" s="6" t="s">
        <v>954</v>
      </c>
    </row>
    <row r="2396">
      <c r="Y2396" s="6" t="s">
        <v>954</v>
      </c>
    </row>
    <row r="2397">
      <c r="Y2397" s="6" t="s">
        <v>954</v>
      </c>
    </row>
    <row r="2398">
      <c r="Y2398" s="6" t="s">
        <v>954</v>
      </c>
    </row>
    <row r="2399">
      <c r="Y2399" s="6" t="s">
        <v>954</v>
      </c>
    </row>
    <row r="2400">
      <c r="Y2400" s="6" t="s">
        <v>954</v>
      </c>
    </row>
    <row r="2401">
      <c r="Y2401" s="6" t="s">
        <v>954</v>
      </c>
    </row>
    <row r="2402">
      <c r="Y2402" s="6" t="s">
        <v>954</v>
      </c>
    </row>
    <row r="2403">
      <c r="Y2403" s="6" t="s">
        <v>954</v>
      </c>
    </row>
    <row r="2404">
      <c r="Y2404" s="6" t="s">
        <v>954</v>
      </c>
    </row>
    <row r="2405">
      <c r="Y2405" s="6" t="s">
        <v>954</v>
      </c>
    </row>
    <row r="2406">
      <c r="Y2406" s="6" t="s">
        <v>954</v>
      </c>
    </row>
    <row r="2407">
      <c r="Y2407" s="6" t="s">
        <v>954</v>
      </c>
    </row>
    <row r="2408">
      <c r="Y2408" s="6" t="s">
        <v>954</v>
      </c>
    </row>
    <row r="2409">
      <c r="Y2409" s="6" t="s">
        <v>954</v>
      </c>
    </row>
    <row r="2410">
      <c r="Y2410" s="6" t="s">
        <v>954</v>
      </c>
    </row>
    <row r="2411">
      <c r="Y2411" s="6" t="s">
        <v>954</v>
      </c>
    </row>
    <row r="2412">
      <c r="Y2412" s="6" t="s">
        <v>954</v>
      </c>
    </row>
    <row r="2413">
      <c r="Y2413" s="6" t="s">
        <v>954</v>
      </c>
    </row>
    <row r="2414">
      <c r="Y2414" s="6" t="s">
        <v>954</v>
      </c>
    </row>
    <row r="2415">
      <c r="Y2415" s="6" t="s">
        <v>954</v>
      </c>
    </row>
    <row r="2416">
      <c r="Y2416" s="6" t="s">
        <v>954</v>
      </c>
    </row>
    <row r="2417">
      <c r="Y2417" s="6" t="s">
        <v>954</v>
      </c>
    </row>
    <row r="2418">
      <c r="Y2418" s="6" t="s">
        <v>954</v>
      </c>
    </row>
    <row r="2419">
      <c r="Y2419" s="6" t="s">
        <v>954</v>
      </c>
    </row>
    <row r="2420">
      <c r="Y2420" s="6" t="s">
        <v>954</v>
      </c>
    </row>
    <row r="2421">
      <c r="Y2421" s="6" t="s">
        <v>954</v>
      </c>
    </row>
    <row r="2422">
      <c r="Y2422" s="6" t="s">
        <v>954</v>
      </c>
    </row>
    <row r="2423">
      <c r="Y2423" s="6" t="s">
        <v>954</v>
      </c>
    </row>
    <row r="2424">
      <c r="Y2424" s="6" t="s">
        <v>954</v>
      </c>
    </row>
    <row r="2425">
      <c r="Y2425" s="6" t="s">
        <v>954</v>
      </c>
    </row>
    <row r="2426">
      <c r="Y2426" s="6" t="s">
        <v>954</v>
      </c>
    </row>
    <row r="2427">
      <c r="Y2427" s="6" t="s">
        <v>954</v>
      </c>
    </row>
    <row r="2428">
      <c r="Y2428" s="6" t="s">
        <v>954</v>
      </c>
    </row>
    <row r="2429">
      <c r="Y2429" s="6" t="s">
        <v>954</v>
      </c>
    </row>
    <row r="2430">
      <c r="Y2430" s="6" t="s">
        <v>954</v>
      </c>
    </row>
    <row r="2431">
      <c r="Y2431" s="6" t="s">
        <v>954</v>
      </c>
    </row>
    <row r="2432">
      <c r="Y2432" s="6" t="s">
        <v>954</v>
      </c>
    </row>
    <row r="2433">
      <c r="Y2433" s="6" t="s">
        <v>954</v>
      </c>
    </row>
    <row r="2434">
      <c r="Y2434" s="6" t="s">
        <v>954</v>
      </c>
    </row>
    <row r="2435">
      <c r="Y2435" s="6" t="s">
        <v>954</v>
      </c>
    </row>
    <row r="2436">
      <c r="Y2436" s="6" t="s">
        <v>954</v>
      </c>
    </row>
    <row r="2437">
      <c r="Y2437" s="6" t="s">
        <v>954</v>
      </c>
    </row>
    <row r="2438">
      <c r="Y2438" s="6" t="s">
        <v>954</v>
      </c>
    </row>
    <row r="2439">
      <c r="Y2439" s="6" t="s">
        <v>954</v>
      </c>
    </row>
    <row r="2440">
      <c r="Y2440" s="6" t="s">
        <v>954</v>
      </c>
    </row>
    <row r="2441">
      <c r="Y2441" s="6" t="s">
        <v>954</v>
      </c>
    </row>
    <row r="2442">
      <c r="Y2442" s="6" t="s">
        <v>954</v>
      </c>
    </row>
    <row r="2443">
      <c r="Y2443" s="6" t="s">
        <v>954</v>
      </c>
    </row>
    <row r="2444">
      <c r="Y2444" s="6" t="s">
        <v>954</v>
      </c>
    </row>
    <row r="2445">
      <c r="Y2445" s="6" t="s">
        <v>954</v>
      </c>
    </row>
    <row r="2446">
      <c r="Y2446" s="6" t="s">
        <v>954</v>
      </c>
    </row>
    <row r="2447">
      <c r="Y2447" s="6" t="s">
        <v>954</v>
      </c>
    </row>
    <row r="2448">
      <c r="Y2448" s="6" t="s">
        <v>954</v>
      </c>
    </row>
    <row r="2449">
      <c r="Y2449" s="6" t="s">
        <v>954</v>
      </c>
    </row>
    <row r="2450">
      <c r="Y2450" s="6" t="s">
        <v>954</v>
      </c>
    </row>
    <row r="2451">
      <c r="Y2451" s="6" t="s">
        <v>954</v>
      </c>
    </row>
    <row r="2452">
      <c r="Y2452" s="6" t="s">
        <v>954</v>
      </c>
    </row>
    <row r="2453">
      <c r="Y2453" s="6" t="s">
        <v>954</v>
      </c>
    </row>
    <row r="2454">
      <c r="Y2454" s="6" t="s">
        <v>954</v>
      </c>
    </row>
    <row r="2455">
      <c r="Y2455" s="6" t="s">
        <v>954</v>
      </c>
    </row>
    <row r="2456">
      <c r="Y2456" s="6" t="s">
        <v>954</v>
      </c>
    </row>
    <row r="2457">
      <c r="Y2457" s="6" t="s">
        <v>954</v>
      </c>
    </row>
    <row r="2458">
      <c r="Y2458" s="6" t="s">
        <v>954</v>
      </c>
    </row>
    <row r="2459">
      <c r="Y2459" s="6" t="s">
        <v>954</v>
      </c>
    </row>
    <row r="2460">
      <c r="Y2460" s="6" t="s">
        <v>954</v>
      </c>
    </row>
    <row r="2461">
      <c r="Y2461" s="6" t="s">
        <v>954</v>
      </c>
    </row>
    <row r="2462">
      <c r="Y2462" s="6" t="s">
        <v>954</v>
      </c>
    </row>
    <row r="2463">
      <c r="Y2463" s="6" t="s">
        <v>954</v>
      </c>
    </row>
    <row r="2464">
      <c r="Y2464" s="6" t="s">
        <v>954</v>
      </c>
    </row>
    <row r="2465">
      <c r="Y2465" s="6" t="s">
        <v>954</v>
      </c>
    </row>
    <row r="2466">
      <c r="Y2466" s="6" t="s">
        <v>954</v>
      </c>
    </row>
    <row r="2467">
      <c r="Y2467" s="6" t="s">
        <v>954</v>
      </c>
    </row>
    <row r="2468">
      <c r="Y2468" s="6" t="s">
        <v>954</v>
      </c>
    </row>
    <row r="2469">
      <c r="Y2469" s="6" t="s">
        <v>954</v>
      </c>
    </row>
    <row r="2470">
      <c r="Y2470" s="6" t="s">
        <v>954</v>
      </c>
    </row>
    <row r="2471">
      <c r="Y2471" s="6" t="s">
        <v>954</v>
      </c>
    </row>
    <row r="2472">
      <c r="Y2472" s="6" t="s">
        <v>954</v>
      </c>
    </row>
    <row r="2473">
      <c r="Y2473" s="6" t="s">
        <v>954</v>
      </c>
    </row>
    <row r="2474">
      <c r="Y2474" s="6" t="s">
        <v>954</v>
      </c>
    </row>
    <row r="2475">
      <c r="Y2475" s="6" t="s">
        <v>954</v>
      </c>
    </row>
    <row r="2476">
      <c r="Y2476" s="6" t="s">
        <v>954</v>
      </c>
    </row>
    <row r="2477">
      <c r="Y2477" s="6" t="s">
        <v>954</v>
      </c>
    </row>
    <row r="2478">
      <c r="Y2478" s="6" t="s">
        <v>954</v>
      </c>
    </row>
    <row r="2479">
      <c r="Y2479" s="6" t="s">
        <v>954</v>
      </c>
    </row>
    <row r="2480">
      <c r="Y2480" s="6" t="s">
        <v>954</v>
      </c>
    </row>
    <row r="2481">
      <c r="Y2481" s="6" t="s">
        <v>954</v>
      </c>
    </row>
    <row r="2482">
      <c r="Y2482" s="6" t="s">
        <v>954</v>
      </c>
    </row>
    <row r="2483">
      <c r="Y2483" s="6" t="s">
        <v>954</v>
      </c>
    </row>
    <row r="2484">
      <c r="Y2484" s="6" t="s">
        <v>954</v>
      </c>
    </row>
    <row r="2485">
      <c r="Y2485" s="6" t="s">
        <v>954</v>
      </c>
    </row>
    <row r="2486">
      <c r="Y2486" s="6" t="s">
        <v>954</v>
      </c>
    </row>
    <row r="2487">
      <c r="Y2487" s="6" t="s">
        <v>954</v>
      </c>
    </row>
    <row r="2488">
      <c r="Y2488" s="6" t="s">
        <v>954</v>
      </c>
    </row>
    <row r="2489">
      <c r="Y2489" s="6" t="s">
        <v>954</v>
      </c>
    </row>
    <row r="2490">
      <c r="Y2490" s="6" t="s">
        <v>954</v>
      </c>
    </row>
    <row r="2491">
      <c r="Y2491" s="6" t="s">
        <v>954</v>
      </c>
    </row>
    <row r="2492">
      <c r="Y2492" s="6" t="s">
        <v>954</v>
      </c>
    </row>
    <row r="2493">
      <c r="Y2493" s="6" t="s">
        <v>954</v>
      </c>
    </row>
    <row r="2494">
      <c r="Y2494" s="6" t="s">
        <v>954</v>
      </c>
    </row>
    <row r="2495">
      <c r="Y2495" s="6" t="s">
        <v>954</v>
      </c>
    </row>
    <row r="2496">
      <c r="Y2496" s="6" t="s">
        <v>954</v>
      </c>
    </row>
    <row r="2497">
      <c r="Y2497" s="6" t="s">
        <v>954</v>
      </c>
    </row>
    <row r="2498">
      <c r="Y2498" s="6" t="s">
        <v>954</v>
      </c>
    </row>
    <row r="2499">
      <c r="Y2499" s="6" t="s">
        <v>954</v>
      </c>
    </row>
    <row r="2500">
      <c r="Y2500" s="6" t="s">
        <v>954</v>
      </c>
    </row>
    <row r="2501">
      <c r="Y2501" s="6" t="s">
        <v>954</v>
      </c>
    </row>
    <row r="2502">
      <c r="Y2502" s="6" t="s">
        <v>954</v>
      </c>
    </row>
    <row r="2503">
      <c r="Y2503" s="6" t="s">
        <v>954</v>
      </c>
    </row>
    <row r="2504">
      <c r="Y2504" s="6" t="s">
        <v>954</v>
      </c>
    </row>
    <row r="2505">
      <c r="Y2505" s="6" t="s">
        <v>954</v>
      </c>
    </row>
    <row r="2506">
      <c r="Y2506" s="6" t="s">
        <v>954</v>
      </c>
    </row>
    <row r="2507">
      <c r="Y2507" s="6" t="s">
        <v>954</v>
      </c>
    </row>
    <row r="2508">
      <c r="Y2508" s="6" t="s">
        <v>954</v>
      </c>
    </row>
    <row r="2509">
      <c r="Y2509" s="6" t="s">
        <v>954</v>
      </c>
    </row>
    <row r="2510">
      <c r="Y2510" s="6" t="s">
        <v>954</v>
      </c>
    </row>
    <row r="2511">
      <c r="Y2511" s="6" t="s">
        <v>954</v>
      </c>
    </row>
    <row r="2512">
      <c r="Y2512" s="6" t="s">
        <v>954</v>
      </c>
    </row>
    <row r="2513">
      <c r="Y2513" s="6" t="s">
        <v>954</v>
      </c>
    </row>
    <row r="2514">
      <c r="Y2514" s="6" t="s">
        <v>954</v>
      </c>
    </row>
    <row r="2515">
      <c r="Y2515" s="6" t="s">
        <v>954</v>
      </c>
    </row>
    <row r="2516">
      <c r="Y2516" s="6" t="s">
        <v>954</v>
      </c>
    </row>
    <row r="2517">
      <c r="Y2517" s="6" t="s">
        <v>954</v>
      </c>
    </row>
    <row r="2518">
      <c r="Y2518" s="6" t="s">
        <v>954</v>
      </c>
    </row>
    <row r="2519">
      <c r="Y2519" s="6" t="s">
        <v>954</v>
      </c>
    </row>
    <row r="2520">
      <c r="Y2520" s="6" t="s">
        <v>954</v>
      </c>
    </row>
    <row r="2521">
      <c r="Y2521" s="6" t="s">
        <v>954</v>
      </c>
    </row>
    <row r="2522">
      <c r="Y2522" s="6" t="s">
        <v>954</v>
      </c>
    </row>
    <row r="2523">
      <c r="Y2523" s="6" t="s">
        <v>954</v>
      </c>
    </row>
    <row r="2524">
      <c r="Y2524" s="6" t="s">
        <v>954</v>
      </c>
    </row>
    <row r="2525">
      <c r="Y2525" s="6" t="s">
        <v>954</v>
      </c>
    </row>
    <row r="2526">
      <c r="Y2526" s="6" t="s">
        <v>954</v>
      </c>
    </row>
    <row r="2527">
      <c r="Y2527" s="6" t="s">
        <v>954</v>
      </c>
    </row>
    <row r="2528">
      <c r="Y2528" s="6" t="s">
        <v>954</v>
      </c>
    </row>
    <row r="2529">
      <c r="Y2529" s="6" t="s">
        <v>954</v>
      </c>
    </row>
    <row r="2530">
      <c r="Y2530" s="6" t="s">
        <v>954</v>
      </c>
    </row>
    <row r="2531">
      <c r="Y2531" s="6" t="s">
        <v>954</v>
      </c>
    </row>
    <row r="2532">
      <c r="Y2532" s="6" t="s">
        <v>954</v>
      </c>
    </row>
    <row r="2533">
      <c r="Y2533" s="6" t="s">
        <v>954</v>
      </c>
    </row>
    <row r="2534">
      <c r="Y2534" s="6" t="s">
        <v>954</v>
      </c>
    </row>
    <row r="2535">
      <c r="Y2535" s="6" t="s">
        <v>954</v>
      </c>
    </row>
    <row r="2536">
      <c r="Y2536" s="6" t="s">
        <v>954</v>
      </c>
    </row>
    <row r="2537">
      <c r="Y2537" s="6" t="s">
        <v>954</v>
      </c>
    </row>
    <row r="2538">
      <c r="Y2538" s="6" t="s">
        <v>954</v>
      </c>
    </row>
    <row r="2539">
      <c r="Y2539" s="6" t="s">
        <v>954</v>
      </c>
    </row>
    <row r="2540">
      <c r="Y2540" s="6" t="s">
        <v>954</v>
      </c>
    </row>
    <row r="2541">
      <c r="Y2541" s="6" t="s">
        <v>954</v>
      </c>
    </row>
    <row r="2542">
      <c r="Y2542" s="6" t="s">
        <v>954</v>
      </c>
    </row>
    <row r="2543">
      <c r="Y2543" s="6" t="s">
        <v>954</v>
      </c>
    </row>
    <row r="2544">
      <c r="Y2544" s="6" t="s">
        <v>954</v>
      </c>
    </row>
    <row r="2545">
      <c r="Y2545" s="6" t="s">
        <v>954</v>
      </c>
    </row>
    <row r="2546">
      <c r="Y2546" s="6" t="s">
        <v>954</v>
      </c>
    </row>
    <row r="2547">
      <c r="Y2547" s="6" t="s">
        <v>954</v>
      </c>
    </row>
    <row r="2548">
      <c r="Y2548" s="6" t="s">
        <v>954</v>
      </c>
    </row>
    <row r="2549">
      <c r="Y2549" s="6" t="s">
        <v>954</v>
      </c>
    </row>
    <row r="2550">
      <c r="Y2550" s="6" t="s">
        <v>954</v>
      </c>
    </row>
    <row r="2551">
      <c r="Y2551" s="6" t="s">
        <v>954</v>
      </c>
    </row>
    <row r="2552">
      <c r="Y2552" s="6" t="s">
        <v>954</v>
      </c>
    </row>
    <row r="2553">
      <c r="Y2553" s="6" t="s">
        <v>954</v>
      </c>
    </row>
    <row r="2554">
      <c r="Y2554" s="6" t="s">
        <v>954</v>
      </c>
    </row>
    <row r="2555">
      <c r="Y2555" s="6" t="s">
        <v>954</v>
      </c>
    </row>
    <row r="2556">
      <c r="Y2556" s="6" t="s">
        <v>954</v>
      </c>
    </row>
    <row r="2557">
      <c r="Y2557" s="6" t="s">
        <v>954</v>
      </c>
    </row>
    <row r="2558">
      <c r="Y2558" s="6" t="s">
        <v>954</v>
      </c>
    </row>
    <row r="2559">
      <c r="Y2559" s="6" t="s">
        <v>954</v>
      </c>
    </row>
    <row r="2560">
      <c r="Y2560" s="6" t="s">
        <v>954</v>
      </c>
    </row>
    <row r="2561">
      <c r="Y2561" s="6" t="s">
        <v>954</v>
      </c>
    </row>
    <row r="2562">
      <c r="Y2562" s="6" t="s">
        <v>954</v>
      </c>
    </row>
    <row r="2563">
      <c r="Y2563" s="6" t="s">
        <v>954</v>
      </c>
    </row>
    <row r="2564">
      <c r="Y2564" s="6" t="s">
        <v>954</v>
      </c>
    </row>
    <row r="2565">
      <c r="Y2565" s="6" t="s">
        <v>954</v>
      </c>
    </row>
    <row r="2566">
      <c r="Y2566" s="6" t="s">
        <v>954</v>
      </c>
    </row>
    <row r="2567">
      <c r="Y2567" s="6" t="s">
        <v>954</v>
      </c>
    </row>
    <row r="2568">
      <c r="Y2568" s="6" t="s">
        <v>954</v>
      </c>
    </row>
    <row r="2569">
      <c r="Y2569" s="6" t="s">
        <v>954</v>
      </c>
    </row>
    <row r="2570">
      <c r="Y2570" s="6" t="s">
        <v>954</v>
      </c>
    </row>
    <row r="2571">
      <c r="Y2571" s="6" t="s">
        <v>954</v>
      </c>
    </row>
    <row r="2572">
      <c r="Y2572" s="6" t="s">
        <v>954</v>
      </c>
    </row>
    <row r="2573">
      <c r="Y2573" s="6" t="s">
        <v>954</v>
      </c>
    </row>
    <row r="2574">
      <c r="Y2574" s="6" t="s">
        <v>954</v>
      </c>
    </row>
    <row r="2575">
      <c r="Y2575" s="6" t="s">
        <v>954</v>
      </c>
    </row>
    <row r="2576">
      <c r="Y2576" s="6" t="s">
        <v>954</v>
      </c>
    </row>
    <row r="2577">
      <c r="Y2577" s="6" t="s">
        <v>954</v>
      </c>
    </row>
    <row r="2578">
      <c r="Y2578" s="6" t="s">
        <v>954</v>
      </c>
    </row>
    <row r="2579">
      <c r="Y2579" s="6" t="s">
        <v>954</v>
      </c>
    </row>
    <row r="2580">
      <c r="Y2580" s="6" t="s">
        <v>954</v>
      </c>
    </row>
    <row r="2581">
      <c r="Y2581" s="6" t="s">
        <v>954</v>
      </c>
    </row>
    <row r="2582">
      <c r="Y2582" s="6" t="s">
        <v>954</v>
      </c>
    </row>
    <row r="2583">
      <c r="Y2583" s="6" t="s">
        <v>954</v>
      </c>
    </row>
    <row r="2584">
      <c r="Y2584" s="6" t="s">
        <v>954</v>
      </c>
    </row>
    <row r="2585">
      <c r="Y2585" s="6" t="s">
        <v>954</v>
      </c>
    </row>
    <row r="2586">
      <c r="Y2586" s="6" t="s">
        <v>954</v>
      </c>
    </row>
    <row r="2587">
      <c r="Y2587" s="6" t="s">
        <v>954</v>
      </c>
    </row>
    <row r="2588">
      <c r="Y2588" s="6" t="s">
        <v>954</v>
      </c>
    </row>
    <row r="2589">
      <c r="Y2589" s="6" t="s">
        <v>954</v>
      </c>
    </row>
    <row r="2590">
      <c r="Y2590" s="6" t="s">
        <v>954</v>
      </c>
    </row>
    <row r="2591">
      <c r="Y2591" s="6" t="s">
        <v>954</v>
      </c>
    </row>
    <row r="2592">
      <c r="Y2592" s="6" t="s">
        <v>954</v>
      </c>
    </row>
    <row r="2593">
      <c r="Y2593" s="6" t="s">
        <v>954</v>
      </c>
    </row>
    <row r="2594">
      <c r="Y2594" s="6" t="s">
        <v>954</v>
      </c>
    </row>
    <row r="2595">
      <c r="Y2595" s="6" t="s">
        <v>954</v>
      </c>
    </row>
    <row r="2596">
      <c r="Y2596" s="6" t="s">
        <v>954</v>
      </c>
    </row>
    <row r="2597">
      <c r="Y2597" s="6" t="s">
        <v>954</v>
      </c>
    </row>
    <row r="2598">
      <c r="Y2598" s="6" t="s">
        <v>954</v>
      </c>
    </row>
    <row r="2599">
      <c r="Y2599" s="6" t="s">
        <v>954</v>
      </c>
    </row>
    <row r="2600">
      <c r="Y2600" s="6" t="s">
        <v>954</v>
      </c>
    </row>
    <row r="2601">
      <c r="Y2601" s="6" t="s">
        <v>954</v>
      </c>
    </row>
    <row r="2602">
      <c r="Y2602" s="6" t="s">
        <v>954</v>
      </c>
    </row>
    <row r="2603">
      <c r="Y2603" s="6" t="s">
        <v>954</v>
      </c>
    </row>
    <row r="2604">
      <c r="Y2604" s="6" t="s">
        <v>954</v>
      </c>
    </row>
    <row r="2605">
      <c r="Y2605" s="6" t="s">
        <v>954</v>
      </c>
    </row>
    <row r="2606">
      <c r="Y2606" s="6" t="s">
        <v>954</v>
      </c>
    </row>
    <row r="2607">
      <c r="Y2607" s="6" t="s">
        <v>954</v>
      </c>
    </row>
    <row r="2608">
      <c r="Y2608" s="6" t="s">
        <v>954</v>
      </c>
    </row>
    <row r="2609">
      <c r="Y2609" s="6" t="s">
        <v>954</v>
      </c>
    </row>
    <row r="2610">
      <c r="Y2610" s="6" t="s">
        <v>954</v>
      </c>
    </row>
    <row r="2611">
      <c r="Y2611" s="6" t="s">
        <v>954</v>
      </c>
    </row>
    <row r="2612">
      <c r="Y2612" s="6" t="s">
        <v>954</v>
      </c>
    </row>
    <row r="2613">
      <c r="Y2613" s="6" t="s">
        <v>954</v>
      </c>
    </row>
    <row r="2614">
      <c r="Y2614" s="6" t="s">
        <v>954</v>
      </c>
    </row>
    <row r="2615">
      <c r="Y2615" s="6" t="s">
        <v>954</v>
      </c>
    </row>
    <row r="2616">
      <c r="Y2616" s="6" t="s">
        <v>954</v>
      </c>
    </row>
    <row r="2617">
      <c r="Y2617" s="6" t="s">
        <v>954</v>
      </c>
    </row>
    <row r="2618">
      <c r="Y2618" s="6" t="s">
        <v>954</v>
      </c>
    </row>
    <row r="2619">
      <c r="Y2619" s="6" t="s">
        <v>954</v>
      </c>
    </row>
    <row r="2620">
      <c r="Y2620" s="6" t="s">
        <v>954</v>
      </c>
    </row>
    <row r="2621">
      <c r="Y2621" s="6" t="s">
        <v>954</v>
      </c>
    </row>
    <row r="2622">
      <c r="Y2622" s="6" t="s">
        <v>954</v>
      </c>
    </row>
    <row r="2623">
      <c r="Y2623" s="6" t="s">
        <v>954</v>
      </c>
    </row>
    <row r="2624">
      <c r="Y2624" s="6" t="s">
        <v>954</v>
      </c>
    </row>
    <row r="2625">
      <c r="Y2625" s="6" t="s">
        <v>954</v>
      </c>
    </row>
    <row r="2626">
      <c r="Y2626" s="6" t="s">
        <v>954</v>
      </c>
    </row>
    <row r="2627">
      <c r="Y2627" s="6" t="s">
        <v>954</v>
      </c>
    </row>
    <row r="2628">
      <c r="Y2628" s="6" t="s">
        <v>954</v>
      </c>
    </row>
    <row r="2629">
      <c r="Y2629" s="6" t="s">
        <v>954</v>
      </c>
    </row>
    <row r="2630">
      <c r="Y2630" s="6" t="s">
        <v>954</v>
      </c>
    </row>
    <row r="2631">
      <c r="Y2631" s="6" t="s">
        <v>954</v>
      </c>
    </row>
    <row r="2632">
      <c r="Y2632" s="6" t="s">
        <v>954</v>
      </c>
    </row>
    <row r="2633">
      <c r="Y2633" s="6" t="s">
        <v>954</v>
      </c>
    </row>
    <row r="2634">
      <c r="Y2634" s="6" t="s">
        <v>954</v>
      </c>
    </row>
    <row r="2635">
      <c r="Y2635" s="6" t="s">
        <v>954</v>
      </c>
    </row>
    <row r="2636">
      <c r="Y2636" s="6" t="s">
        <v>954</v>
      </c>
    </row>
    <row r="2637">
      <c r="Y2637" s="6" t="s">
        <v>954</v>
      </c>
    </row>
    <row r="2638">
      <c r="Y2638" s="6" t="s">
        <v>954</v>
      </c>
    </row>
    <row r="2639">
      <c r="Y2639" s="6" t="s">
        <v>954</v>
      </c>
    </row>
    <row r="2640">
      <c r="Y2640" s="6" t="s">
        <v>954</v>
      </c>
    </row>
    <row r="2641">
      <c r="Y2641" s="6" t="s">
        <v>954</v>
      </c>
    </row>
    <row r="2642">
      <c r="Y2642" s="6" t="s">
        <v>954</v>
      </c>
    </row>
    <row r="2643">
      <c r="Y2643" s="6" t="s">
        <v>954</v>
      </c>
    </row>
    <row r="2644">
      <c r="Y2644" s="6" t="s">
        <v>954</v>
      </c>
    </row>
    <row r="2645">
      <c r="Y2645" s="6" t="s">
        <v>954</v>
      </c>
    </row>
    <row r="2646">
      <c r="Y2646" s="6" t="s">
        <v>954</v>
      </c>
    </row>
    <row r="2647">
      <c r="Y2647" s="6" t="s">
        <v>954</v>
      </c>
    </row>
    <row r="2648">
      <c r="Y2648" s="6" t="s">
        <v>954</v>
      </c>
    </row>
    <row r="2649">
      <c r="Y2649" s="6" t="s">
        <v>954</v>
      </c>
    </row>
    <row r="2650">
      <c r="Y2650" s="6" t="s">
        <v>954</v>
      </c>
    </row>
    <row r="2651">
      <c r="Y2651" s="6" t="s">
        <v>954</v>
      </c>
    </row>
    <row r="2652">
      <c r="Y2652" s="6" t="s">
        <v>954</v>
      </c>
    </row>
    <row r="2653">
      <c r="Y2653" s="6" t="s">
        <v>954</v>
      </c>
    </row>
    <row r="2654">
      <c r="Y2654" s="6" t="s">
        <v>954</v>
      </c>
    </row>
    <row r="2655">
      <c r="Y2655" s="6" t="s">
        <v>954</v>
      </c>
    </row>
    <row r="2656">
      <c r="Y2656" s="6" t="s">
        <v>954</v>
      </c>
    </row>
    <row r="2657">
      <c r="Y2657" s="6" t="s">
        <v>954</v>
      </c>
    </row>
    <row r="2658">
      <c r="Y2658" s="6" t="s">
        <v>954</v>
      </c>
    </row>
    <row r="2659">
      <c r="Y2659" s="6" t="s">
        <v>954</v>
      </c>
    </row>
    <row r="2660">
      <c r="Y2660" s="6" t="s">
        <v>954</v>
      </c>
    </row>
    <row r="2661">
      <c r="Y2661" s="6" t="s">
        <v>954</v>
      </c>
    </row>
    <row r="2662">
      <c r="Y2662" s="6" t="s">
        <v>954</v>
      </c>
    </row>
    <row r="2663">
      <c r="Y2663" s="6" t="s">
        <v>954</v>
      </c>
    </row>
    <row r="2664">
      <c r="Y2664" s="6" t="s">
        <v>954</v>
      </c>
    </row>
    <row r="2665">
      <c r="Y2665" s="6" t="s">
        <v>954</v>
      </c>
    </row>
    <row r="2666">
      <c r="Y2666" s="6" t="s">
        <v>954</v>
      </c>
    </row>
    <row r="2667">
      <c r="Y2667" s="6" t="s">
        <v>954</v>
      </c>
    </row>
    <row r="2668">
      <c r="Y2668" s="6" t="s">
        <v>954</v>
      </c>
    </row>
    <row r="2669">
      <c r="Y2669" s="6" t="s">
        <v>954</v>
      </c>
    </row>
    <row r="2670">
      <c r="Y2670" s="6" t="s">
        <v>954</v>
      </c>
    </row>
    <row r="2671">
      <c r="Y2671" s="6" t="s">
        <v>954</v>
      </c>
    </row>
    <row r="2672">
      <c r="Y2672" s="6" t="s">
        <v>954</v>
      </c>
    </row>
    <row r="2673">
      <c r="Y2673" s="6" t="s">
        <v>954</v>
      </c>
    </row>
    <row r="2674">
      <c r="Y2674" s="6" t="s">
        <v>954</v>
      </c>
    </row>
    <row r="2675">
      <c r="Y2675" s="6" t="s">
        <v>954</v>
      </c>
    </row>
    <row r="2676">
      <c r="Y2676" s="6" t="s">
        <v>954</v>
      </c>
    </row>
    <row r="2677">
      <c r="Y2677" s="6" t="s">
        <v>954</v>
      </c>
    </row>
    <row r="2678">
      <c r="Y2678" s="6" t="s">
        <v>954</v>
      </c>
    </row>
    <row r="2679">
      <c r="Y2679" s="6" t="s">
        <v>954</v>
      </c>
    </row>
    <row r="2680">
      <c r="Y2680" s="6" t="s">
        <v>954</v>
      </c>
    </row>
    <row r="2681">
      <c r="Y2681" s="6" t="s">
        <v>954</v>
      </c>
    </row>
    <row r="2682">
      <c r="Y2682" s="6" t="s">
        <v>954</v>
      </c>
    </row>
    <row r="2683">
      <c r="Y2683" s="6" t="s">
        <v>954</v>
      </c>
    </row>
    <row r="2684">
      <c r="Y2684" s="6" t="s">
        <v>954</v>
      </c>
    </row>
    <row r="2685">
      <c r="Y2685" s="6" t="s">
        <v>954</v>
      </c>
    </row>
    <row r="2686">
      <c r="Y2686" s="6" t="s">
        <v>954</v>
      </c>
    </row>
    <row r="2687">
      <c r="Y2687" s="6" t="s">
        <v>954</v>
      </c>
    </row>
    <row r="2688">
      <c r="Y2688" s="6" t="s">
        <v>954</v>
      </c>
    </row>
    <row r="2689">
      <c r="Y2689" s="6" t="s">
        <v>954</v>
      </c>
    </row>
    <row r="2690">
      <c r="Y2690" s="6" t="s">
        <v>954</v>
      </c>
    </row>
    <row r="2691">
      <c r="Y2691" s="6" t="s">
        <v>954</v>
      </c>
    </row>
    <row r="2692">
      <c r="Y2692" s="6" t="s">
        <v>954</v>
      </c>
    </row>
    <row r="2693">
      <c r="Y2693" s="6" t="s">
        <v>954</v>
      </c>
    </row>
    <row r="2694">
      <c r="Y2694" s="6" t="s">
        <v>954</v>
      </c>
    </row>
    <row r="2695">
      <c r="Y2695" s="6" t="s">
        <v>954</v>
      </c>
    </row>
    <row r="2696">
      <c r="Y2696" s="6" t="s">
        <v>954</v>
      </c>
    </row>
    <row r="2697">
      <c r="Y2697" s="6" t="s">
        <v>954</v>
      </c>
    </row>
    <row r="2698">
      <c r="Y2698" s="6" t="s">
        <v>954</v>
      </c>
    </row>
    <row r="2699">
      <c r="Y2699" s="6" t="s">
        <v>954</v>
      </c>
    </row>
    <row r="2700">
      <c r="Y2700" s="6" t="s">
        <v>954</v>
      </c>
    </row>
    <row r="2701">
      <c r="Y2701" s="6" t="s">
        <v>954</v>
      </c>
    </row>
    <row r="2702">
      <c r="Y2702" s="6" t="s">
        <v>954</v>
      </c>
    </row>
    <row r="2703">
      <c r="Y2703" s="6" t="s">
        <v>954</v>
      </c>
    </row>
    <row r="2704">
      <c r="Y2704" s="6" t="s">
        <v>954</v>
      </c>
    </row>
    <row r="2705">
      <c r="Y2705" s="6" t="s">
        <v>954</v>
      </c>
    </row>
    <row r="2706">
      <c r="Y2706" s="6" t="s">
        <v>954</v>
      </c>
    </row>
    <row r="2707">
      <c r="Y2707" s="6" t="s">
        <v>954</v>
      </c>
    </row>
    <row r="2708">
      <c r="Y2708" s="6" t="s">
        <v>954</v>
      </c>
    </row>
    <row r="2709">
      <c r="Y2709" s="6" t="s">
        <v>954</v>
      </c>
    </row>
    <row r="2710">
      <c r="Y2710" s="6" t="s">
        <v>954</v>
      </c>
    </row>
    <row r="2711">
      <c r="Y2711" s="6" t="s">
        <v>954</v>
      </c>
    </row>
    <row r="2712">
      <c r="Y2712" s="6" t="s">
        <v>954</v>
      </c>
    </row>
    <row r="2713">
      <c r="Y2713" s="6" t="s">
        <v>954</v>
      </c>
    </row>
    <row r="2714">
      <c r="Y2714" s="6" t="s">
        <v>954</v>
      </c>
    </row>
    <row r="2715">
      <c r="Y2715" s="6" t="s">
        <v>954</v>
      </c>
    </row>
    <row r="2716">
      <c r="Y2716" s="6" t="s">
        <v>954</v>
      </c>
    </row>
    <row r="2717">
      <c r="Y2717" s="6" t="s">
        <v>954</v>
      </c>
    </row>
    <row r="2718">
      <c r="Y2718" s="6" t="s">
        <v>954</v>
      </c>
    </row>
    <row r="2719">
      <c r="Y2719" s="6" t="s">
        <v>954</v>
      </c>
    </row>
    <row r="2720">
      <c r="Y2720" s="6" t="s">
        <v>954</v>
      </c>
    </row>
    <row r="2721">
      <c r="Y2721" s="6" t="s">
        <v>954</v>
      </c>
    </row>
    <row r="2722">
      <c r="Y2722" s="6" t="s">
        <v>954</v>
      </c>
    </row>
    <row r="2723">
      <c r="Y2723" s="6" t="s">
        <v>954</v>
      </c>
    </row>
    <row r="2724">
      <c r="Y2724" s="6" t="s">
        <v>954</v>
      </c>
    </row>
    <row r="2725">
      <c r="Y2725" s="6" t="s">
        <v>954</v>
      </c>
    </row>
    <row r="2726">
      <c r="Y2726" s="6" t="s">
        <v>954</v>
      </c>
    </row>
    <row r="2727">
      <c r="Y2727" s="6" t="s">
        <v>954</v>
      </c>
    </row>
    <row r="2728">
      <c r="Y2728" s="6" t="s">
        <v>954</v>
      </c>
    </row>
    <row r="2729">
      <c r="Y2729" s="6" t="s">
        <v>954</v>
      </c>
    </row>
    <row r="2730">
      <c r="Y2730" s="6" t="s">
        <v>954</v>
      </c>
    </row>
    <row r="2731">
      <c r="Y2731" s="6" t="s">
        <v>954</v>
      </c>
    </row>
    <row r="2732">
      <c r="Y2732" s="6" t="s">
        <v>954</v>
      </c>
    </row>
    <row r="2733">
      <c r="Y2733" s="6" t="s">
        <v>954</v>
      </c>
    </row>
    <row r="2734">
      <c r="Y2734" s="6" t="s">
        <v>954</v>
      </c>
    </row>
    <row r="2735">
      <c r="Y2735" s="6" t="s">
        <v>954</v>
      </c>
    </row>
    <row r="2736">
      <c r="Y2736" s="6" t="s">
        <v>954</v>
      </c>
    </row>
    <row r="2737">
      <c r="Y2737" s="6" t="s">
        <v>954</v>
      </c>
    </row>
    <row r="2738">
      <c r="Y2738" s="6" t="s">
        <v>954</v>
      </c>
    </row>
    <row r="2739">
      <c r="Y2739" s="6" t="s">
        <v>954</v>
      </c>
    </row>
    <row r="2740">
      <c r="Y2740" s="6" t="s">
        <v>954</v>
      </c>
    </row>
    <row r="2741">
      <c r="Y2741" s="6" t="s">
        <v>954</v>
      </c>
    </row>
    <row r="2742">
      <c r="Y2742" s="6" t="s">
        <v>954</v>
      </c>
    </row>
    <row r="2743">
      <c r="Y2743" s="6" t="s">
        <v>954</v>
      </c>
    </row>
    <row r="2744">
      <c r="Y2744" s="6" t="s">
        <v>954</v>
      </c>
    </row>
    <row r="2745">
      <c r="Y2745" s="6" t="s">
        <v>954</v>
      </c>
    </row>
    <row r="2746">
      <c r="Y2746" s="6" t="s">
        <v>954</v>
      </c>
    </row>
    <row r="2747">
      <c r="Y2747" s="6" t="s">
        <v>954</v>
      </c>
    </row>
    <row r="2748">
      <c r="Y2748" s="6" t="s">
        <v>954</v>
      </c>
    </row>
    <row r="2749">
      <c r="Y2749" s="6" t="s">
        <v>954</v>
      </c>
    </row>
    <row r="2750">
      <c r="Y2750" s="6" t="s">
        <v>954</v>
      </c>
    </row>
    <row r="2751">
      <c r="Y2751" s="6" t="s">
        <v>954</v>
      </c>
    </row>
    <row r="2752">
      <c r="Y2752" s="6" t="s">
        <v>954</v>
      </c>
    </row>
    <row r="2753">
      <c r="Y2753" s="6" t="s">
        <v>954</v>
      </c>
    </row>
    <row r="2754">
      <c r="Y2754" s="6" t="s">
        <v>954</v>
      </c>
    </row>
    <row r="2755">
      <c r="Y2755" s="6" t="s">
        <v>954</v>
      </c>
    </row>
    <row r="2756">
      <c r="Y2756" s="6" t="s">
        <v>954</v>
      </c>
    </row>
    <row r="2757">
      <c r="Y2757" s="6" t="s">
        <v>954</v>
      </c>
    </row>
    <row r="2758">
      <c r="Y2758" s="6" t="s">
        <v>954</v>
      </c>
    </row>
    <row r="2759">
      <c r="Y2759" s="6" t="s">
        <v>954</v>
      </c>
    </row>
    <row r="2760">
      <c r="Y2760" s="6" t="s">
        <v>954</v>
      </c>
    </row>
    <row r="2761">
      <c r="Y2761" s="6" t="s">
        <v>954</v>
      </c>
    </row>
    <row r="2762">
      <c r="Y2762" s="6" t="s">
        <v>954</v>
      </c>
    </row>
    <row r="2763">
      <c r="Y2763" s="6" t="s">
        <v>954</v>
      </c>
    </row>
    <row r="2764">
      <c r="Y2764" s="6" t="s">
        <v>954</v>
      </c>
    </row>
    <row r="2765">
      <c r="Y2765" s="6" t="s">
        <v>954</v>
      </c>
    </row>
    <row r="2766">
      <c r="Y2766" s="6" t="s">
        <v>954</v>
      </c>
    </row>
    <row r="2767">
      <c r="Y2767" s="6" t="s">
        <v>954</v>
      </c>
    </row>
    <row r="2768">
      <c r="Y2768" s="6" t="s">
        <v>954</v>
      </c>
    </row>
    <row r="2769">
      <c r="Y2769" s="6" t="s">
        <v>954</v>
      </c>
    </row>
    <row r="2770">
      <c r="Y2770" s="6" t="s">
        <v>954</v>
      </c>
    </row>
    <row r="2771">
      <c r="Y2771" s="6" t="s">
        <v>954</v>
      </c>
    </row>
    <row r="2772">
      <c r="Y2772" s="6" t="s">
        <v>954</v>
      </c>
    </row>
    <row r="2773">
      <c r="Y2773" s="6" t="s">
        <v>954</v>
      </c>
    </row>
    <row r="2774">
      <c r="Y2774" s="6" t="s">
        <v>954</v>
      </c>
    </row>
    <row r="2775">
      <c r="Y2775" s="6" t="s">
        <v>954</v>
      </c>
    </row>
    <row r="2776">
      <c r="Y2776" s="6" t="s">
        <v>954</v>
      </c>
    </row>
    <row r="2777">
      <c r="Y2777" s="6" t="s">
        <v>954</v>
      </c>
    </row>
    <row r="2778">
      <c r="Y2778" s="6" t="s">
        <v>954</v>
      </c>
    </row>
    <row r="2779">
      <c r="Y2779" s="6" t="s">
        <v>954</v>
      </c>
    </row>
    <row r="2780">
      <c r="Y2780" s="6" t="s">
        <v>954</v>
      </c>
    </row>
    <row r="2781">
      <c r="Y2781" s="6" t="s">
        <v>954</v>
      </c>
    </row>
    <row r="2782">
      <c r="Y2782" s="6" t="s">
        <v>954</v>
      </c>
    </row>
    <row r="2783">
      <c r="Y2783" s="6" t="s">
        <v>954</v>
      </c>
    </row>
    <row r="2784">
      <c r="Y2784" s="6" t="s">
        <v>954</v>
      </c>
    </row>
    <row r="2785">
      <c r="Y2785" s="6" t="s">
        <v>954</v>
      </c>
    </row>
    <row r="2786">
      <c r="Y2786" s="6" t="s">
        <v>954</v>
      </c>
    </row>
    <row r="2787">
      <c r="Y2787" s="6" t="s">
        <v>954</v>
      </c>
    </row>
    <row r="2788">
      <c r="Y2788" s="6" t="s">
        <v>954</v>
      </c>
    </row>
    <row r="2789">
      <c r="Y2789" s="6" t="s">
        <v>954</v>
      </c>
    </row>
    <row r="2790">
      <c r="Y2790" s="6" t="s">
        <v>954</v>
      </c>
    </row>
    <row r="2791">
      <c r="Y2791" s="6" t="s">
        <v>954</v>
      </c>
    </row>
    <row r="2792">
      <c r="Y2792" s="6" t="s">
        <v>954</v>
      </c>
    </row>
    <row r="2793">
      <c r="Y2793" s="6" t="s">
        <v>954</v>
      </c>
    </row>
    <row r="2794">
      <c r="Y2794" s="6" t="s">
        <v>954</v>
      </c>
    </row>
    <row r="2795">
      <c r="Y2795" s="6" t="s">
        <v>954</v>
      </c>
    </row>
    <row r="2796">
      <c r="Y2796" s="6" t="s">
        <v>954</v>
      </c>
    </row>
    <row r="2797">
      <c r="Y2797" s="6" t="s">
        <v>954</v>
      </c>
    </row>
    <row r="2798">
      <c r="Y2798" s="6" t="s">
        <v>954</v>
      </c>
    </row>
    <row r="2799">
      <c r="Y2799" s="6" t="s">
        <v>954</v>
      </c>
    </row>
    <row r="2800">
      <c r="Y2800" s="6" t="s">
        <v>954</v>
      </c>
    </row>
    <row r="2801">
      <c r="Y2801" s="6" t="s">
        <v>954</v>
      </c>
    </row>
    <row r="2802">
      <c r="Y2802" s="6" t="s">
        <v>954</v>
      </c>
    </row>
    <row r="2803">
      <c r="Y2803" s="6" t="s">
        <v>954</v>
      </c>
    </row>
    <row r="2804">
      <c r="Y2804" s="6" t="s">
        <v>954</v>
      </c>
    </row>
    <row r="2805">
      <c r="Y2805" s="6" t="s">
        <v>954</v>
      </c>
    </row>
    <row r="2806">
      <c r="Y2806" s="6" t="s">
        <v>954</v>
      </c>
    </row>
    <row r="2807">
      <c r="Y2807" s="6" t="s">
        <v>954</v>
      </c>
    </row>
    <row r="2808">
      <c r="Y2808" s="6" t="s">
        <v>954</v>
      </c>
    </row>
    <row r="2809">
      <c r="Y2809" s="6" t="s">
        <v>954</v>
      </c>
    </row>
    <row r="2810">
      <c r="Y2810" s="6" t="s">
        <v>954</v>
      </c>
    </row>
    <row r="2811">
      <c r="Y2811" s="6" t="s">
        <v>954</v>
      </c>
    </row>
    <row r="2812">
      <c r="Y2812" s="6" t="s">
        <v>954</v>
      </c>
    </row>
    <row r="2813">
      <c r="Y2813" s="6" t="s">
        <v>954</v>
      </c>
    </row>
    <row r="2814">
      <c r="Y2814" s="6" t="s">
        <v>954</v>
      </c>
    </row>
    <row r="2815">
      <c r="Y2815" s="6" t="s">
        <v>954</v>
      </c>
    </row>
    <row r="2816">
      <c r="Y2816" s="6" t="s">
        <v>954</v>
      </c>
    </row>
    <row r="2817">
      <c r="Y2817" s="6" t="s">
        <v>954</v>
      </c>
    </row>
    <row r="2818">
      <c r="Y2818" s="6" t="s">
        <v>954</v>
      </c>
    </row>
    <row r="2819">
      <c r="Y2819" s="6" t="s">
        <v>954</v>
      </c>
    </row>
    <row r="2820">
      <c r="Y2820" s="6" t="s">
        <v>954</v>
      </c>
    </row>
    <row r="2821">
      <c r="Y2821" s="6" t="s">
        <v>954</v>
      </c>
    </row>
    <row r="2822">
      <c r="Y2822" s="6" t="s">
        <v>954</v>
      </c>
    </row>
    <row r="2823">
      <c r="Y2823" s="6" t="s">
        <v>954</v>
      </c>
    </row>
    <row r="2824">
      <c r="Y2824" s="6" t="s">
        <v>954</v>
      </c>
    </row>
    <row r="2825">
      <c r="Y2825" s="6" t="s">
        <v>954</v>
      </c>
    </row>
    <row r="2826">
      <c r="Y2826" s="6" t="s">
        <v>954</v>
      </c>
    </row>
    <row r="2827">
      <c r="Y2827" s="6" t="s">
        <v>954</v>
      </c>
    </row>
    <row r="2828">
      <c r="Y2828" s="6" t="s">
        <v>954</v>
      </c>
    </row>
    <row r="2829">
      <c r="Y2829" s="6" t="s">
        <v>954</v>
      </c>
    </row>
    <row r="2830">
      <c r="Y2830" s="6" t="s">
        <v>954</v>
      </c>
    </row>
    <row r="2831">
      <c r="Y2831" s="6" t="s">
        <v>954</v>
      </c>
    </row>
    <row r="2832">
      <c r="Y2832" s="6" t="s">
        <v>954</v>
      </c>
    </row>
    <row r="2833">
      <c r="Y2833" s="6" t="s">
        <v>954</v>
      </c>
    </row>
    <row r="2834">
      <c r="Y2834" s="6" t="s">
        <v>954</v>
      </c>
    </row>
    <row r="2835">
      <c r="Y2835" s="6" t="s">
        <v>954</v>
      </c>
    </row>
    <row r="2836">
      <c r="Y2836" s="6" t="s">
        <v>954</v>
      </c>
    </row>
    <row r="2837">
      <c r="Y2837" s="6" t="s">
        <v>954</v>
      </c>
    </row>
    <row r="2838">
      <c r="Y2838" s="6" t="s">
        <v>954</v>
      </c>
    </row>
    <row r="2839">
      <c r="Y2839" s="6" t="s">
        <v>954</v>
      </c>
    </row>
    <row r="2840">
      <c r="Y2840" s="6" t="s">
        <v>954</v>
      </c>
    </row>
    <row r="2841">
      <c r="Y2841" s="6" t="s">
        <v>954</v>
      </c>
    </row>
    <row r="2842">
      <c r="Y2842" s="6" t="s">
        <v>954</v>
      </c>
    </row>
    <row r="2843">
      <c r="Y2843" s="6" t="s">
        <v>954</v>
      </c>
    </row>
    <row r="2844">
      <c r="Y2844" s="6" t="s">
        <v>954</v>
      </c>
    </row>
    <row r="2845">
      <c r="Y2845" s="6" t="s">
        <v>954</v>
      </c>
    </row>
    <row r="2846">
      <c r="Y2846" s="6" t="s">
        <v>954</v>
      </c>
    </row>
    <row r="2847">
      <c r="Y2847" s="6" t="s">
        <v>954</v>
      </c>
    </row>
    <row r="2848">
      <c r="Y2848" s="6" t="s">
        <v>954</v>
      </c>
    </row>
    <row r="2849">
      <c r="Y2849" s="6" t="s">
        <v>954</v>
      </c>
    </row>
    <row r="2850">
      <c r="Y2850" s="6" t="s">
        <v>954</v>
      </c>
    </row>
    <row r="2851">
      <c r="Y2851" s="6" t="s">
        <v>954</v>
      </c>
    </row>
    <row r="2852">
      <c r="Y2852" s="6" t="s">
        <v>954</v>
      </c>
    </row>
    <row r="2853">
      <c r="Y2853" s="6" t="s">
        <v>954</v>
      </c>
    </row>
    <row r="2854">
      <c r="Y2854" s="6" t="s">
        <v>954</v>
      </c>
    </row>
    <row r="2855">
      <c r="Y2855" s="6" t="s">
        <v>954</v>
      </c>
    </row>
    <row r="2856">
      <c r="Y2856" s="6" t="s">
        <v>954</v>
      </c>
    </row>
    <row r="2857">
      <c r="Y2857" s="6" t="s">
        <v>954</v>
      </c>
    </row>
    <row r="2858">
      <c r="Y2858" s="6" t="s">
        <v>954</v>
      </c>
    </row>
    <row r="2859">
      <c r="Y2859" s="6" t="s">
        <v>954</v>
      </c>
    </row>
    <row r="2860">
      <c r="Y2860" s="6" t="s">
        <v>954</v>
      </c>
    </row>
    <row r="2861">
      <c r="Y2861" s="6" t="s">
        <v>954</v>
      </c>
    </row>
    <row r="2862">
      <c r="Y2862" s="6" t="s">
        <v>954</v>
      </c>
    </row>
    <row r="2863">
      <c r="Y2863" s="6" t="s">
        <v>954</v>
      </c>
    </row>
    <row r="2864">
      <c r="Y2864" s="6" t="s">
        <v>954</v>
      </c>
    </row>
    <row r="2865">
      <c r="Y2865" s="6" t="s">
        <v>954</v>
      </c>
    </row>
    <row r="2866">
      <c r="Y2866" s="6" t="s">
        <v>954</v>
      </c>
    </row>
    <row r="2867">
      <c r="Y2867" s="6" t="s">
        <v>954</v>
      </c>
    </row>
    <row r="2868">
      <c r="Y2868" s="6" t="s">
        <v>954</v>
      </c>
    </row>
    <row r="2869">
      <c r="Y2869" s="6" t="s">
        <v>954</v>
      </c>
    </row>
    <row r="2870">
      <c r="Y2870" s="6" t="s">
        <v>954</v>
      </c>
    </row>
    <row r="2871">
      <c r="Y2871" s="6" t="s">
        <v>954</v>
      </c>
    </row>
    <row r="2872">
      <c r="Y2872" s="6" t="s">
        <v>954</v>
      </c>
    </row>
    <row r="2873">
      <c r="Y2873" s="6" t="s">
        <v>954</v>
      </c>
    </row>
    <row r="2874">
      <c r="Y2874" s="6" t="s">
        <v>954</v>
      </c>
    </row>
    <row r="2875">
      <c r="Y2875" s="6" t="s">
        <v>954</v>
      </c>
    </row>
    <row r="2876">
      <c r="Y2876" s="6" t="s">
        <v>954</v>
      </c>
    </row>
    <row r="2877">
      <c r="Y2877" s="6" t="s">
        <v>954</v>
      </c>
    </row>
    <row r="2878">
      <c r="Y2878" s="6" t="s">
        <v>954</v>
      </c>
    </row>
    <row r="2879">
      <c r="Y2879" s="6" t="s">
        <v>954</v>
      </c>
    </row>
    <row r="2880">
      <c r="Y2880" s="6" t="s">
        <v>954</v>
      </c>
    </row>
    <row r="2881">
      <c r="Y2881" s="6" t="s">
        <v>954</v>
      </c>
    </row>
    <row r="2882">
      <c r="Y2882" s="6" t="s">
        <v>954</v>
      </c>
    </row>
    <row r="2883">
      <c r="Y2883" s="6" t="s">
        <v>954</v>
      </c>
    </row>
    <row r="2884">
      <c r="Y2884" s="6" t="s">
        <v>954</v>
      </c>
    </row>
    <row r="2885">
      <c r="Y2885" s="6" t="s">
        <v>954</v>
      </c>
    </row>
    <row r="2886">
      <c r="Y2886" s="6" t="s">
        <v>954</v>
      </c>
    </row>
    <row r="2887">
      <c r="Y2887" s="6" t="s">
        <v>954</v>
      </c>
    </row>
    <row r="2888">
      <c r="Y2888" s="6" t="s">
        <v>954</v>
      </c>
    </row>
    <row r="2889">
      <c r="Y2889" s="6" t="s">
        <v>954</v>
      </c>
    </row>
    <row r="2890">
      <c r="Y2890" s="6" t="s">
        <v>954</v>
      </c>
    </row>
    <row r="2891">
      <c r="Y2891" s="6" t="s">
        <v>954</v>
      </c>
    </row>
    <row r="2892">
      <c r="Y2892" s="6" t="s">
        <v>954</v>
      </c>
    </row>
    <row r="2893">
      <c r="Y2893" s="6" t="s">
        <v>954</v>
      </c>
    </row>
    <row r="2894">
      <c r="Y2894" s="6" t="s">
        <v>954</v>
      </c>
    </row>
    <row r="2895">
      <c r="Y2895" s="6" t="s">
        <v>954</v>
      </c>
    </row>
    <row r="2896">
      <c r="Y2896" s="6" t="s">
        <v>954</v>
      </c>
    </row>
    <row r="2897">
      <c r="Y2897" s="6" t="s">
        <v>954</v>
      </c>
    </row>
    <row r="2898">
      <c r="Y2898" s="6" t="s">
        <v>954</v>
      </c>
    </row>
    <row r="2899">
      <c r="Y2899" s="6" t="s">
        <v>954</v>
      </c>
    </row>
    <row r="2900">
      <c r="Y2900" s="6" t="s">
        <v>954</v>
      </c>
    </row>
    <row r="2901">
      <c r="Y2901" s="6" t="s">
        <v>954</v>
      </c>
    </row>
    <row r="2902">
      <c r="Y2902" s="6" t="s">
        <v>954</v>
      </c>
    </row>
    <row r="2903">
      <c r="Y2903" s="6" t="s">
        <v>954</v>
      </c>
    </row>
    <row r="2904">
      <c r="Y2904" s="6" t="s">
        <v>954</v>
      </c>
    </row>
    <row r="2905">
      <c r="Y2905" s="6" t="s">
        <v>954</v>
      </c>
    </row>
    <row r="2906">
      <c r="Y2906" s="6" t="s">
        <v>954</v>
      </c>
    </row>
    <row r="2907">
      <c r="Y2907" s="6" t="s">
        <v>954</v>
      </c>
    </row>
    <row r="2908">
      <c r="Y2908" s="6" t="s">
        <v>954</v>
      </c>
    </row>
    <row r="2909">
      <c r="Y2909" s="6" t="s">
        <v>954</v>
      </c>
    </row>
    <row r="2910">
      <c r="Y2910" s="6" t="s">
        <v>954</v>
      </c>
    </row>
    <row r="2911">
      <c r="Y2911" s="6" t="s">
        <v>954</v>
      </c>
    </row>
    <row r="2912">
      <c r="Y2912" s="6" t="s">
        <v>954</v>
      </c>
    </row>
    <row r="2913">
      <c r="Y2913" s="6" t="s">
        <v>954</v>
      </c>
    </row>
    <row r="2914">
      <c r="Y2914" s="6" t="s">
        <v>954</v>
      </c>
    </row>
    <row r="2915">
      <c r="Y2915" s="6" t="s">
        <v>954</v>
      </c>
    </row>
    <row r="2916">
      <c r="Y2916" s="6" t="s">
        <v>954</v>
      </c>
    </row>
    <row r="2917">
      <c r="Y2917" s="6" t="s">
        <v>954</v>
      </c>
    </row>
    <row r="2918">
      <c r="Y2918" s="6" t="s">
        <v>954</v>
      </c>
    </row>
    <row r="2919">
      <c r="Y2919" s="6" t="s">
        <v>954</v>
      </c>
    </row>
    <row r="2920">
      <c r="Y2920" s="6" t="s">
        <v>954</v>
      </c>
    </row>
    <row r="2921">
      <c r="Y2921" s="6" t="s">
        <v>954</v>
      </c>
    </row>
    <row r="2922">
      <c r="Y2922" s="6" t="s">
        <v>954</v>
      </c>
    </row>
    <row r="2923">
      <c r="Y2923" s="6" t="s">
        <v>954</v>
      </c>
    </row>
    <row r="2924">
      <c r="Y2924" s="6" t="s">
        <v>954</v>
      </c>
    </row>
    <row r="2925">
      <c r="Y2925" s="6" t="s">
        <v>954</v>
      </c>
    </row>
    <row r="2926">
      <c r="Y2926" s="6" t="s">
        <v>954</v>
      </c>
    </row>
    <row r="2927">
      <c r="Y2927" s="6" t="s">
        <v>954</v>
      </c>
    </row>
    <row r="2928">
      <c r="Y2928" s="6" t="s">
        <v>954</v>
      </c>
    </row>
    <row r="2929">
      <c r="Y2929" s="6" t="s">
        <v>954</v>
      </c>
    </row>
    <row r="2930">
      <c r="Y2930" s="6" t="s">
        <v>954</v>
      </c>
    </row>
    <row r="2931">
      <c r="Y2931" s="6" t="s">
        <v>954</v>
      </c>
    </row>
    <row r="2932">
      <c r="Y2932" s="6" t="s">
        <v>954</v>
      </c>
    </row>
    <row r="2933">
      <c r="Y2933" s="6" t="s">
        <v>954</v>
      </c>
    </row>
    <row r="2934">
      <c r="Y2934" s="6" t="s">
        <v>954</v>
      </c>
    </row>
    <row r="2935">
      <c r="Y2935" s="6" t="s">
        <v>954</v>
      </c>
    </row>
    <row r="2936">
      <c r="Y2936" s="6" t="s">
        <v>954</v>
      </c>
    </row>
    <row r="2937">
      <c r="Y2937" s="6" t="s">
        <v>954</v>
      </c>
    </row>
    <row r="2938">
      <c r="Y2938" s="6" t="s">
        <v>954</v>
      </c>
    </row>
    <row r="2939">
      <c r="Y2939" s="6" t="s">
        <v>954</v>
      </c>
    </row>
    <row r="2940">
      <c r="Y2940" s="6" t="s">
        <v>954</v>
      </c>
    </row>
    <row r="2941">
      <c r="Y2941" s="6" t="s">
        <v>954</v>
      </c>
    </row>
    <row r="2942">
      <c r="Y2942" s="6" t="s">
        <v>954</v>
      </c>
    </row>
    <row r="2943">
      <c r="Y2943" s="6" t="s">
        <v>954</v>
      </c>
    </row>
    <row r="2944">
      <c r="Y2944" s="6" t="s">
        <v>954</v>
      </c>
    </row>
    <row r="2945">
      <c r="Y2945" s="6" t="s">
        <v>954</v>
      </c>
    </row>
    <row r="2946">
      <c r="Y2946" s="6" t="s">
        <v>954</v>
      </c>
    </row>
    <row r="2947">
      <c r="Y2947" s="6" t="s">
        <v>954</v>
      </c>
    </row>
    <row r="2948">
      <c r="Y2948" s="6" t="s">
        <v>954</v>
      </c>
    </row>
    <row r="2949">
      <c r="Y2949" s="6" t="s">
        <v>954</v>
      </c>
    </row>
    <row r="2950">
      <c r="Y2950" s="6" t="s">
        <v>954</v>
      </c>
    </row>
    <row r="2951">
      <c r="Y2951" s="6" t="s">
        <v>954</v>
      </c>
    </row>
    <row r="2952">
      <c r="Y2952" s="6" t="s">
        <v>954</v>
      </c>
    </row>
    <row r="2953">
      <c r="Y2953" s="6" t="s">
        <v>954</v>
      </c>
    </row>
    <row r="2954">
      <c r="Y2954" s="6" t="s">
        <v>954</v>
      </c>
    </row>
    <row r="2955">
      <c r="Y2955" s="6" t="s">
        <v>954</v>
      </c>
    </row>
    <row r="2956">
      <c r="Y2956" s="6" t="s">
        <v>954</v>
      </c>
    </row>
    <row r="2957">
      <c r="Y2957" s="6" t="s">
        <v>954</v>
      </c>
    </row>
    <row r="2958">
      <c r="Y2958" s="6" t="s">
        <v>954</v>
      </c>
    </row>
    <row r="2959">
      <c r="Y2959" s="6" t="s">
        <v>954</v>
      </c>
    </row>
    <row r="2960">
      <c r="Y2960" s="6" t="s">
        <v>954</v>
      </c>
    </row>
    <row r="2961">
      <c r="Y2961" s="6" t="s">
        <v>954</v>
      </c>
    </row>
    <row r="2962">
      <c r="Y2962" s="6" t="s">
        <v>954</v>
      </c>
    </row>
    <row r="2963">
      <c r="Y2963" s="6" t="s">
        <v>954</v>
      </c>
    </row>
    <row r="2964">
      <c r="Y2964" s="6" t="s">
        <v>954</v>
      </c>
    </row>
    <row r="2965">
      <c r="Y2965" s="6" t="s">
        <v>954</v>
      </c>
    </row>
    <row r="2966">
      <c r="Y2966" s="6" t="s">
        <v>954</v>
      </c>
    </row>
    <row r="2967">
      <c r="Y2967" s="6" t="s">
        <v>954</v>
      </c>
    </row>
    <row r="2968">
      <c r="Y2968" s="6" t="s">
        <v>954</v>
      </c>
    </row>
    <row r="2969">
      <c r="Y2969" s="6" t="s">
        <v>954</v>
      </c>
    </row>
    <row r="2970">
      <c r="Y2970" s="6" t="s">
        <v>954</v>
      </c>
    </row>
    <row r="2971">
      <c r="Y2971" s="6" t="s">
        <v>954</v>
      </c>
    </row>
    <row r="2972">
      <c r="Y2972" s="6" t="s">
        <v>954</v>
      </c>
    </row>
    <row r="2973">
      <c r="Y2973" s="6" t="s">
        <v>954</v>
      </c>
    </row>
    <row r="2974">
      <c r="Y2974" s="6" t="s">
        <v>954</v>
      </c>
    </row>
    <row r="2975">
      <c r="Y2975" s="6" t="s">
        <v>954</v>
      </c>
    </row>
    <row r="2976">
      <c r="Y2976" s="6" t="s">
        <v>954</v>
      </c>
    </row>
    <row r="2977">
      <c r="Y2977" s="6" t="s">
        <v>954</v>
      </c>
    </row>
    <row r="2978">
      <c r="Y2978" s="6" t="s">
        <v>954</v>
      </c>
    </row>
    <row r="2979">
      <c r="Y2979" s="6" t="s">
        <v>954</v>
      </c>
    </row>
    <row r="2980">
      <c r="Y2980" s="6" t="s">
        <v>954</v>
      </c>
    </row>
    <row r="2981">
      <c r="Y2981" s="6" t="s">
        <v>954</v>
      </c>
    </row>
    <row r="2982">
      <c r="Y2982" s="6" t="s">
        <v>954</v>
      </c>
    </row>
    <row r="2983">
      <c r="Y2983" s="6" t="s">
        <v>954</v>
      </c>
    </row>
    <row r="2984">
      <c r="Y2984" s="6" t="s">
        <v>954</v>
      </c>
    </row>
    <row r="2985">
      <c r="Y2985" s="6" t="s">
        <v>954</v>
      </c>
    </row>
    <row r="2986">
      <c r="Y2986" s="6" t="s">
        <v>954</v>
      </c>
    </row>
    <row r="2987">
      <c r="Y2987" s="6" t="s">
        <v>954</v>
      </c>
    </row>
    <row r="2988">
      <c r="Y2988" s="6" t="s">
        <v>954</v>
      </c>
    </row>
    <row r="2989">
      <c r="Y2989" s="6" t="s">
        <v>954</v>
      </c>
    </row>
    <row r="2990">
      <c r="Y2990" s="6" t="s">
        <v>954</v>
      </c>
    </row>
    <row r="2991">
      <c r="Y2991" s="6" t="s">
        <v>954</v>
      </c>
    </row>
    <row r="2992">
      <c r="Y2992" s="6" t="s">
        <v>954</v>
      </c>
    </row>
    <row r="2993">
      <c r="Y2993" s="6" t="s">
        <v>954</v>
      </c>
    </row>
    <row r="2994">
      <c r="Y2994" s="6" t="s">
        <v>954</v>
      </c>
    </row>
    <row r="2995">
      <c r="Y2995" s="6" t="s">
        <v>954</v>
      </c>
    </row>
    <row r="2996">
      <c r="Y2996" s="6" t="s">
        <v>954</v>
      </c>
    </row>
    <row r="2997">
      <c r="Y2997" s="6" t="s">
        <v>954</v>
      </c>
    </row>
    <row r="2998">
      <c r="Y2998" s="6" t="s">
        <v>954</v>
      </c>
    </row>
    <row r="2999">
      <c r="Y2999" s="6" t="s">
        <v>954</v>
      </c>
    </row>
    <row r="3000">
      <c r="Y3000" s="6" t="s">
        <v>954</v>
      </c>
    </row>
    <row r="3001">
      <c r="Y3001" s="6" t="s">
        <v>954</v>
      </c>
    </row>
    <row r="3002">
      <c r="Y3002" s="6" t="s">
        <v>954</v>
      </c>
    </row>
    <row r="3003">
      <c r="Y3003" s="6" t="s">
        <v>954</v>
      </c>
    </row>
    <row r="3004">
      <c r="Y3004" s="6" t="s">
        <v>954</v>
      </c>
    </row>
    <row r="3005">
      <c r="Y3005" s="6" t="s">
        <v>954</v>
      </c>
    </row>
    <row r="3006">
      <c r="Y3006" s="6" t="s">
        <v>954</v>
      </c>
    </row>
    <row r="3007">
      <c r="Y3007" s="6" t="s">
        <v>954</v>
      </c>
    </row>
    <row r="3008">
      <c r="Y3008" s="6" t="s">
        <v>954</v>
      </c>
    </row>
    <row r="3009">
      <c r="Y3009" s="6" t="s">
        <v>954</v>
      </c>
    </row>
    <row r="3010">
      <c r="Y3010" s="6" t="s">
        <v>954</v>
      </c>
    </row>
    <row r="3011">
      <c r="Y3011" s="6" t="s">
        <v>954</v>
      </c>
    </row>
    <row r="3012">
      <c r="Y3012" s="6" t="s">
        <v>954</v>
      </c>
    </row>
    <row r="3013">
      <c r="Y3013" s="6" t="s">
        <v>954</v>
      </c>
    </row>
    <row r="3014">
      <c r="Y3014" s="6" t="s">
        <v>954</v>
      </c>
    </row>
    <row r="3015">
      <c r="Y3015" s="6" t="s">
        <v>954</v>
      </c>
    </row>
    <row r="3016">
      <c r="Y3016" s="6" t="s">
        <v>954</v>
      </c>
    </row>
    <row r="3017">
      <c r="Y3017" s="6" t="s">
        <v>954</v>
      </c>
    </row>
    <row r="3018">
      <c r="Y3018" s="6" t="s">
        <v>954</v>
      </c>
    </row>
    <row r="3019">
      <c r="Y3019" s="6" t="s">
        <v>954</v>
      </c>
    </row>
    <row r="3020">
      <c r="Y3020" s="6" t="s">
        <v>954</v>
      </c>
    </row>
    <row r="3021">
      <c r="Y3021" s="6" t="s">
        <v>954</v>
      </c>
    </row>
    <row r="3022">
      <c r="Y3022" s="6" t="s">
        <v>954</v>
      </c>
    </row>
    <row r="3023">
      <c r="Y3023" s="6" t="s">
        <v>954</v>
      </c>
    </row>
    <row r="3024">
      <c r="Y3024" s="6" t="s">
        <v>954</v>
      </c>
    </row>
    <row r="3025">
      <c r="Y3025" s="6" t="s">
        <v>954</v>
      </c>
    </row>
    <row r="3026">
      <c r="Y3026" s="6" t="s">
        <v>954</v>
      </c>
    </row>
    <row r="3027">
      <c r="Y3027" s="6" t="s">
        <v>954</v>
      </c>
    </row>
    <row r="3028">
      <c r="Y3028" s="6" t="s">
        <v>954</v>
      </c>
    </row>
    <row r="3029">
      <c r="Y3029" s="6" t="s">
        <v>954</v>
      </c>
    </row>
    <row r="3030">
      <c r="Y3030" s="6" t="s">
        <v>954</v>
      </c>
    </row>
    <row r="3031">
      <c r="Y3031" s="6" t="s">
        <v>954</v>
      </c>
    </row>
    <row r="3032">
      <c r="Y3032" s="6" t="s">
        <v>954</v>
      </c>
    </row>
    <row r="3033">
      <c r="Y3033" s="6" t="s">
        <v>954</v>
      </c>
    </row>
    <row r="3034">
      <c r="Y3034" s="6" t="s">
        <v>954</v>
      </c>
    </row>
    <row r="3035">
      <c r="Y3035" s="6" t="s">
        <v>954</v>
      </c>
    </row>
    <row r="3036">
      <c r="Y3036" s="6" t="s">
        <v>954</v>
      </c>
    </row>
    <row r="3037">
      <c r="Y3037" s="6" t="s">
        <v>954</v>
      </c>
    </row>
    <row r="3038">
      <c r="Y3038" s="6" t="s">
        <v>954</v>
      </c>
    </row>
    <row r="3039">
      <c r="Y3039" s="6" t="s">
        <v>954</v>
      </c>
    </row>
    <row r="3040">
      <c r="Y3040" s="6" t="s">
        <v>954</v>
      </c>
    </row>
    <row r="3041">
      <c r="Y3041" s="6" t="s">
        <v>954</v>
      </c>
    </row>
    <row r="3042">
      <c r="Y3042" s="6" t="s">
        <v>954</v>
      </c>
    </row>
    <row r="3043">
      <c r="Y3043" s="6" t="s">
        <v>954</v>
      </c>
    </row>
    <row r="3044">
      <c r="Y3044" s="6" t="s">
        <v>954</v>
      </c>
    </row>
    <row r="3045">
      <c r="Y3045" s="6" t="s">
        <v>954</v>
      </c>
    </row>
    <row r="3046">
      <c r="Y3046" s="6" t="s">
        <v>954</v>
      </c>
    </row>
    <row r="3047">
      <c r="Y3047" s="6" t="s">
        <v>954</v>
      </c>
    </row>
    <row r="3048">
      <c r="Y3048" s="6" t="s">
        <v>954</v>
      </c>
    </row>
    <row r="3049">
      <c r="Y3049" s="6" t="s">
        <v>954</v>
      </c>
    </row>
    <row r="3050">
      <c r="Y3050" s="6" t="s">
        <v>954</v>
      </c>
    </row>
    <row r="3051">
      <c r="Y3051" s="6" t="s">
        <v>954</v>
      </c>
    </row>
    <row r="3052">
      <c r="Y3052" s="6" t="s">
        <v>954</v>
      </c>
    </row>
    <row r="3053">
      <c r="Y3053" s="6" t="s">
        <v>954</v>
      </c>
    </row>
    <row r="3054">
      <c r="Y3054" s="6" t="s">
        <v>954</v>
      </c>
    </row>
    <row r="3055">
      <c r="Y3055" s="6" t="s">
        <v>954</v>
      </c>
    </row>
    <row r="3056">
      <c r="Y3056" s="6" t="s">
        <v>954</v>
      </c>
    </row>
    <row r="3057">
      <c r="Y3057" s="6" t="s">
        <v>954</v>
      </c>
    </row>
    <row r="3058">
      <c r="Y3058" s="6" t="s">
        <v>954</v>
      </c>
    </row>
    <row r="3059">
      <c r="Y3059" s="6" t="s">
        <v>954</v>
      </c>
    </row>
    <row r="3060">
      <c r="Y3060" s="6" t="s">
        <v>954</v>
      </c>
    </row>
    <row r="3061">
      <c r="Y3061" s="6" t="s">
        <v>954</v>
      </c>
    </row>
    <row r="3062">
      <c r="Y3062" s="6" t="s">
        <v>954</v>
      </c>
    </row>
    <row r="3063">
      <c r="Y3063" s="6" t="s">
        <v>954</v>
      </c>
    </row>
    <row r="3064">
      <c r="Y3064" s="6" t="s">
        <v>954</v>
      </c>
    </row>
    <row r="3065">
      <c r="Y3065" s="6" t="s">
        <v>954</v>
      </c>
    </row>
    <row r="3066">
      <c r="Y3066" s="6" t="s">
        <v>954</v>
      </c>
    </row>
    <row r="3067">
      <c r="Y3067" s="6" t="s">
        <v>954</v>
      </c>
    </row>
    <row r="3068">
      <c r="Y3068" s="6" t="s">
        <v>954</v>
      </c>
    </row>
    <row r="3069">
      <c r="Y3069" s="6" t="s">
        <v>954</v>
      </c>
    </row>
    <row r="3070">
      <c r="Y3070" s="6" t="s">
        <v>954</v>
      </c>
    </row>
    <row r="3071">
      <c r="Y3071" s="6" t="s">
        <v>954</v>
      </c>
    </row>
    <row r="3072">
      <c r="Y3072" s="6" t="s">
        <v>954</v>
      </c>
    </row>
    <row r="3073">
      <c r="Y3073" s="6" t="s">
        <v>954</v>
      </c>
    </row>
    <row r="3074">
      <c r="Y3074" s="6" t="s">
        <v>954</v>
      </c>
    </row>
    <row r="3075">
      <c r="Y3075" s="6" t="s">
        <v>954</v>
      </c>
    </row>
    <row r="3076">
      <c r="Y3076" s="6" t="s">
        <v>954</v>
      </c>
    </row>
    <row r="3077">
      <c r="Y3077" s="6" t="s">
        <v>954</v>
      </c>
    </row>
    <row r="3078">
      <c r="Y3078" s="6" t="s">
        <v>954</v>
      </c>
    </row>
    <row r="3079">
      <c r="Y3079" s="6" t="s">
        <v>954</v>
      </c>
    </row>
    <row r="3080">
      <c r="Y3080" s="6" t="s">
        <v>954</v>
      </c>
    </row>
    <row r="3081">
      <c r="Y3081" s="6" t="s">
        <v>954</v>
      </c>
    </row>
    <row r="3082">
      <c r="Y3082" s="6" t="s">
        <v>954</v>
      </c>
    </row>
    <row r="3083">
      <c r="Y3083" s="6" t="s">
        <v>954</v>
      </c>
    </row>
    <row r="3084">
      <c r="Y3084" s="6" t="s">
        <v>954</v>
      </c>
    </row>
    <row r="3085">
      <c r="Y3085" s="6" t="s">
        <v>954</v>
      </c>
    </row>
    <row r="3086">
      <c r="Y3086" s="6" t="s">
        <v>954</v>
      </c>
    </row>
    <row r="3087">
      <c r="Y3087" s="6" t="s">
        <v>954</v>
      </c>
    </row>
    <row r="3088">
      <c r="Y3088" s="6" t="s">
        <v>954</v>
      </c>
    </row>
    <row r="3089">
      <c r="Y3089" s="6" t="s">
        <v>954</v>
      </c>
    </row>
    <row r="3090">
      <c r="Y3090" s="6" t="s">
        <v>954</v>
      </c>
    </row>
    <row r="3091">
      <c r="Y3091" s="6" t="s">
        <v>954</v>
      </c>
    </row>
    <row r="3092">
      <c r="Y3092" s="6" t="s">
        <v>954</v>
      </c>
    </row>
    <row r="3093">
      <c r="Y3093" s="6" t="s">
        <v>954</v>
      </c>
    </row>
    <row r="3094">
      <c r="Y3094" s="6" t="s">
        <v>954</v>
      </c>
    </row>
    <row r="3095">
      <c r="Y3095" s="6" t="s">
        <v>954</v>
      </c>
    </row>
    <row r="3096">
      <c r="Y3096" s="6" t="s">
        <v>954</v>
      </c>
    </row>
    <row r="3097">
      <c r="Y3097" s="6" t="s">
        <v>954</v>
      </c>
    </row>
    <row r="3098">
      <c r="Y3098" s="6" t="s">
        <v>954</v>
      </c>
    </row>
    <row r="3099">
      <c r="Y3099" s="6" t="s">
        <v>954</v>
      </c>
    </row>
    <row r="3100">
      <c r="Y3100" s="6" t="s">
        <v>954</v>
      </c>
    </row>
    <row r="3101">
      <c r="Y3101" s="6" t="s">
        <v>954</v>
      </c>
    </row>
    <row r="3102">
      <c r="Y3102" s="6" t="s">
        <v>954</v>
      </c>
    </row>
    <row r="3103">
      <c r="Y3103" s="6" t="s">
        <v>954</v>
      </c>
    </row>
    <row r="3104">
      <c r="Y3104" s="6" t="s">
        <v>954</v>
      </c>
    </row>
    <row r="3105">
      <c r="Y3105" s="6" t="s">
        <v>954</v>
      </c>
    </row>
    <row r="3106">
      <c r="Y3106" s="6" t="s">
        <v>954</v>
      </c>
    </row>
    <row r="3107">
      <c r="Y3107" s="6" t="s">
        <v>954</v>
      </c>
    </row>
    <row r="3108">
      <c r="Y3108" s="6" t="s">
        <v>954</v>
      </c>
    </row>
    <row r="3109">
      <c r="Y3109" s="6" t="s">
        <v>954</v>
      </c>
    </row>
    <row r="3110">
      <c r="Y3110" s="6" t="s">
        <v>954</v>
      </c>
    </row>
    <row r="3111">
      <c r="Y3111" s="6" t="s">
        <v>954</v>
      </c>
    </row>
    <row r="3112">
      <c r="Y3112" s="6" t="s">
        <v>954</v>
      </c>
    </row>
    <row r="3113">
      <c r="Y3113" s="6" t="s">
        <v>954</v>
      </c>
    </row>
    <row r="3114">
      <c r="Y3114" s="6" t="s">
        <v>954</v>
      </c>
    </row>
    <row r="3115">
      <c r="Y3115" s="6" t="s">
        <v>954</v>
      </c>
    </row>
    <row r="3116">
      <c r="Y3116" s="6" t="s">
        <v>954</v>
      </c>
    </row>
    <row r="3117">
      <c r="Y3117" s="6" t="s">
        <v>954</v>
      </c>
    </row>
    <row r="3118">
      <c r="Y3118" s="6" t="s">
        <v>954</v>
      </c>
    </row>
    <row r="3119">
      <c r="Y3119" s="6" t="s">
        <v>954</v>
      </c>
    </row>
    <row r="3120">
      <c r="Y3120" s="6" t="s">
        <v>954</v>
      </c>
    </row>
    <row r="3121">
      <c r="Y3121" s="6" t="s">
        <v>954</v>
      </c>
    </row>
    <row r="3122">
      <c r="Y3122" s="6" t="s">
        <v>954</v>
      </c>
    </row>
    <row r="3123">
      <c r="Y3123" s="6" t="s">
        <v>954</v>
      </c>
    </row>
    <row r="3124">
      <c r="Y3124" s="6" t="s">
        <v>954</v>
      </c>
    </row>
    <row r="3125">
      <c r="Y3125" s="6" t="s">
        <v>954</v>
      </c>
    </row>
    <row r="3126">
      <c r="Y3126" s="6" t="s">
        <v>954</v>
      </c>
    </row>
    <row r="3127">
      <c r="Y3127" s="6" t="s">
        <v>954</v>
      </c>
    </row>
    <row r="3128">
      <c r="Y3128" s="6" t="s">
        <v>954</v>
      </c>
    </row>
    <row r="3129">
      <c r="Y3129" s="6" t="s">
        <v>954</v>
      </c>
    </row>
    <row r="3130">
      <c r="Y3130" s="6" t="s">
        <v>954</v>
      </c>
    </row>
    <row r="3131">
      <c r="Y3131" s="6" t="s">
        <v>954</v>
      </c>
    </row>
    <row r="3132">
      <c r="Y3132" s="6" t="s">
        <v>954</v>
      </c>
    </row>
    <row r="3133">
      <c r="Y3133" s="6" t="s">
        <v>954</v>
      </c>
    </row>
    <row r="3134">
      <c r="Y3134" s="6" t="s">
        <v>954</v>
      </c>
    </row>
    <row r="3135">
      <c r="Y3135" s="6" t="s">
        <v>954</v>
      </c>
    </row>
    <row r="3136">
      <c r="Y3136" s="6" t="s">
        <v>954</v>
      </c>
    </row>
    <row r="3137">
      <c r="Y3137" s="6" t="s">
        <v>954</v>
      </c>
    </row>
    <row r="3138">
      <c r="Y3138" s="6" t="s">
        <v>954</v>
      </c>
    </row>
    <row r="3139">
      <c r="Y3139" s="6" t="s">
        <v>954</v>
      </c>
    </row>
    <row r="3140">
      <c r="Y3140" s="6" t="s">
        <v>954</v>
      </c>
    </row>
    <row r="3141">
      <c r="Y3141" s="6" t="s">
        <v>954</v>
      </c>
    </row>
    <row r="3142">
      <c r="Y3142" s="6" t="s">
        <v>954</v>
      </c>
    </row>
    <row r="3143">
      <c r="Y3143" s="6" t="s">
        <v>954</v>
      </c>
    </row>
    <row r="3144">
      <c r="Y3144" s="6" t="s">
        <v>954</v>
      </c>
    </row>
    <row r="3145">
      <c r="Y3145" s="6" t="s">
        <v>954</v>
      </c>
    </row>
    <row r="3146">
      <c r="Y3146" s="6" t="s">
        <v>954</v>
      </c>
    </row>
    <row r="3147">
      <c r="Y3147" s="6" t="s">
        <v>954</v>
      </c>
    </row>
    <row r="3148">
      <c r="Y3148" s="6" t="s">
        <v>954</v>
      </c>
    </row>
    <row r="3149">
      <c r="Y3149" s="6" t="s">
        <v>954</v>
      </c>
    </row>
    <row r="3150">
      <c r="Y3150" s="6" t="s">
        <v>954</v>
      </c>
    </row>
    <row r="3151">
      <c r="Y3151" s="6" t="s">
        <v>954</v>
      </c>
    </row>
    <row r="3152">
      <c r="Y3152" s="6" t="s">
        <v>954</v>
      </c>
    </row>
    <row r="3153">
      <c r="Y3153" s="6" t="s">
        <v>954</v>
      </c>
    </row>
    <row r="3154">
      <c r="Y3154" s="6" t="s">
        <v>954</v>
      </c>
    </row>
    <row r="3155">
      <c r="Y3155" s="6" t="s">
        <v>954</v>
      </c>
    </row>
    <row r="3156">
      <c r="Y3156" s="6" t="s">
        <v>954</v>
      </c>
    </row>
    <row r="3157">
      <c r="Y3157" s="6" t="s">
        <v>954</v>
      </c>
    </row>
    <row r="3158">
      <c r="Y3158" s="6" t="s">
        <v>954</v>
      </c>
    </row>
    <row r="3159">
      <c r="Y3159" s="6" t="s">
        <v>954</v>
      </c>
    </row>
    <row r="3160">
      <c r="Y3160" s="6" t="s">
        <v>954</v>
      </c>
    </row>
    <row r="3161">
      <c r="Y3161" s="6" t="s">
        <v>954</v>
      </c>
    </row>
    <row r="3162">
      <c r="Y3162" s="6" t="s">
        <v>954</v>
      </c>
    </row>
    <row r="3163">
      <c r="Y3163" s="6" t="s">
        <v>954</v>
      </c>
    </row>
    <row r="3164">
      <c r="Y3164" s="6" t="s">
        <v>954</v>
      </c>
    </row>
    <row r="3165">
      <c r="Y3165" s="6" t="s">
        <v>954</v>
      </c>
    </row>
    <row r="3166">
      <c r="Y3166" s="6" t="s">
        <v>954</v>
      </c>
    </row>
    <row r="3167">
      <c r="Y3167" s="6" t="s">
        <v>954</v>
      </c>
    </row>
    <row r="3168">
      <c r="Y3168" s="6" t="s">
        <v>954</v>
      </c>
    </row>
    <row r="3169">
      <c r="Y3169" s="6" t="s">
        <v>954</v>
      </c>
    </row>
    <row r="3170">
      <c r="Y3170" s="6" t="s">
        <v>954</v>
      </c>
    </row>
    <row r="3171">
      <c r="Y3171" s="6" t="s">
        <v>954</v>
      </c>
    </row>
    <row r="3172">
      <c r="Y3172" s="6" t="s">
        <v>954</v>
      </c>
    </row>
    <row r="3173">
      <c r="Y3173" s="6" t="s">
        <v>954</v>
      </c>
    </row>
    <row r="3174">
      <c r="Y3174" s="6" t="s">
        <v>954</v>
      </c>
    </row>
    <row r="3175">
      <c r="Y3175" s="6" t="s">
        <v>954</v>
      </c>
    </row>
    <row r="3176">
      <c r="Y3176" s="6" t="s">
        <v>954</v>
      </c>
    </row>
    <row r="3177">
      <c r="Y3177" s="6" t="s">
        <v>954</v>
      </c>
    </row>
    <row r="3178">
      <c r="Y3178" s="6" t="s">
        <v>954</v>
      </c>
    </row>
    <row r="3179">
      <c r="Y3179" s="6" t="s">
        <v>954</v>
      </c>
    </row>
    <row r="3180">
      <c r="Y3180" s="6" t="s">
        <v>954</v>
      </c>
    </row>
    <row r="3181">
      <c r="Y3181" s="6" t="s">
        <v>954</v>
      </c>
    </row>
    <row r="3182">
      <c r="Y3182" s="6" t="s">
        <v>954</v>
      </c>
    </row>
    <row r="3183">
      <c r="Y3183" s="6" t="s">
        <v>954</v>
      </c>
    </row>
    <row r="3184">
      <c r="Y3184" s="6" t="s">
        <v>954</v>
      </c>
    </row>
    <row r="3185">
      <c r="Y3185" s="6" t="s">
        <v>954</v>
      </c>
    </row>
    <row r="3186">
      <c r="Y3186" s="6" t="s">
        <v>954</v>
      </c>
    </row>
    <row r="3187">
      <c r="Y3187" s="6" t="s">
        <v>954</v>
      </c>
    </row>
    <row r="3188">
      <c r="Y3188" s="6" t="s">
        <v>954</v>
      </c>
    </row>
    <row r="3189">
      <c r="Y3189" s="6" t="s">
        <v>954</v>
      </c>
    </row>
    <row r="3190">
      <c r="Y3190" s="6" t="s">
        <v>954</v>
      </c>
    </row>
    <row r="3191">
      <c r="Y3191" s="6" t="s">
        <v>954</v>
      </c>
    </row>
    <row r="3192">
      <c r="Y3192" s="6" t="s">
        <v>954</v>
      </c>
    </row>
    <row r="3193">
      <c r="Y3193" s="6" t="s">
        <v>954</v>
      </c>
    </row>
    <row r="3194">
      <c r="Y3194" s="6" t="s">
        <v>954</v>
      </c>
    </row>
    <row r="3195">
      <c r="Y3195" s="6" t="s">
        <v>954</v>
      </c>
    </row>
    <row r="3196">
      <c r="Y3196" s="6" t="s">
        <v>954</v>
      </c>
    </row>
    <row r="3197">
      <c r="Y3197" s="6" t="s">
        <v>954</v>
      </c>
    </row>
    <row r="3198">
      <c r="Y3198" s="6" t="s">
        <v>954</v>
      </c>
    </row>
    <row r="3199">
      <c r="Y3199" s="6" t="s">
        <v>954</v>
      </c>
    </row>
    <row r="3200">
      <c r="Y3200" s="6" t="s">
        <v>954</v>
      </c>
    </row>
    <row r="3201">
      <c r="Y3201" s="6" t="s">
        <v>954</v>
      </c>
    </row>
    <row r="3202">
      <c r="Y3202" s="6" t="s">
        <v>954</v>
      </c>
    </row>
    <row r="3203">
      <c r="Y3203" s="6" t="s">
        <v>954</v>
      </c>
    </row>
    <row r="3204">
      <c r="Y3204" s="6" t="s">
        <v>954</v>
      </c>
    </row>
    <row r="3205">
      <c r="Y3205" s="6" t="s">
        <v>954</v>
      </c>
    </row>
    <row r="3206">
      <c r="Y3206" s="6" t="s">
        <v>954</v>
      </c>
    </row>
    <row r="3207">
      <c r="Y3207" s="6" t="s">
        <v>954</v>
      </c>
    </row>
    <row r="3208">
      <c r="Y3208" s="6" t="s">
        <v>954</v>
      </c>
    </row>
    <row r="3209">
      <c r="Y3209" s="6" t="s">
        <v>954</v>
      </c>
    </row>
    <row r="3210">
      <c r="Y3210" s="6" t="s">
        <v>954</v>
      </c>
    </row>
    <row r="3211">
      <c r="Y3211" s="6" t="s">
        <v>954</v>
      </c>
    </row>
    <row r="3212">
      <c r="Y3212" s="6" t="s">
        <v>954</v>
      </c>
    </row>
    <row r="3213">
      <c r="Y3213" s="6" t="s">
        <v>954</v>
      </c>
    </row>
    <row r="3214">
      <c r="Y3214" s="6" t="s">
        <v>954</v>
      </c>
    </row>
    <row r="3215">
      <c r="Y3215" s="6" t="s">
        <v>954</v>
      </c>
    </row>
    <row r="3216">
      <c r="Y3216" s="6" t="s">
        <v>954</v>
      </c>
    </row>
    <row r="3217">
      <c r="Y3217" s="6" t="s">
        <v>954</v>
      </c>
    </row>
    <row r="3218">
      <c r="Y3218" s="6" t="s">
        <v>954</v>
      </c>
    </row>
    <row r="3219">
      <c r="Y3219" s="6" t="s">
        <v>954</v>
      </c>
    </row>
    <row r="3220">
      <c r="Y3220" s="6" t="s">
        <v>954</v>
      </c>
    </row>
    <row r="3221">
      <c r="Y3221" s="6" t="s">
        <v>954</v>
      </c>
    </row>
    <row r="3222">
      <c r="Y3222" s="6" t="s">
        <v>954</v>
      </c>
    </row>
    <row r="3223">
      <c r="Y3223" s="6" t="s">
        <v>954</v>
      </c>
    </row>
    <row r="3224">
      <c r="Y3224" s="6" t="s">
        <v>954</v>
      </c>
    </row>
    <row r="3225">
      <c r="Y3225" s="6" t="s">
        <v>954</v>
      </c>
    </row>
    <row r="3226">
      <c r="Y3226" s="6" t="s">
        <v>954</v>
      </c>
    </row>
    <row r="3227">
      <c r="Y3227" s="6" t="s">
        <v>954</v>
      </c>
    </row>
    <row r="3228">
      <c r="Y3228" s="6" t="s">
        <v>954</v>
      </c>
    </row>
    <row r="3229">
      <c r="Y3229" s="6" t="s">
        <v>954</v>
      </c>
    </row>
    <row r="3230">
      <c r="Y3230" s="6" t="s">
        <v>954</v>
      </c>
    </row>
    <row r="3231">
      <c r="Y3231" s="6" t="s">
        <v>954</v>
      </c>
    </row>
    <row r="3232">
      <c r="Y3232" s="6" t="s">
        <v>954</v>
      </c>
    </row>
    <row r="3233">
      <c r="Y3233" s="6" t="s">
        <v>954</v>
      </c>
    </row>
    <row r="3234">
      <c r="Y3234" s="6" t="s">
        <v>954</v>
      </c>
    </row>
    <row r="3235">
      <c r="Y3235" s="6" t="s">
        <v>954</v>
      </c>
    </row>
    <row r="3236">
      <c r="Y3236" s="6" t="s">
        <v>954</v>
      </c>
    </row>
    <row r="3237">
      <c r="Y3237" s="6" t="s">
        <v>954</v>
      </c>
    </row>
    <row r="3238">
      <c r="Y3238" s="6" t="s">
        <v>954</v>
      </c>
    </row>
    <row r="3239">
      <c r="Y3239" s="6" t="s">
        <v>954</v>
      </c>
    </row>
    <row r="3240">
      <c r="Y3240" s="6" t="s">
        <v>954</v>
      </c>
    </row>
    <row r="3241">
      <c r="Y3241" s="6" t="s">
        <v>954</v>
      </c>
    </row>
    <row r="3242">
      <c r="Y3242" s="6" t="s">
        <v>954</v>
      </c>
    </row>
    <row r="3243">
      <c r="Y3243" s="6" t="s">
        <v>954</v>
      </c>
    </row>
    <row r="3244">
      <c r="Y3244" s="6" t="s">
        <v>954</v>
      </c>
    </row>
    <row r="3245">
      <c r="Y3245" s="6" t="s">
        <v>954</v>
      </c>
    </row>
    <row r="3246">
      <c r="Y3246" s="6" t="s">
        <v>954</v>
      </c>
    </row>
    <row r="3247">
      <c r="Y3247" s="6" t="s">
        <v>954</v>
      </c>
    </row>
    <row r="3248">
      <c r="Y3248" s="6" t="s">
        <v>954</v>
      </c>
    </row>
    <row r="3249">
      <c r="Y3249" s="6" t="s">
        <v>954</v>
      </c>
    </row>
    <row r="3250">
      <c r="Y3250" s="6" t="s">
        <v>954</v>
      </c>
    </row>
    <row r="3251">
      <c r="Y3251" s="6" t="s">
        <v>954</v>
      </c>
    </row>
    <row r="3252">
      <c r="Y3252" s="6" t="s">
        <v>954</v>
      </c>
    </row>
    <row r="3253">
      <c r="Y3253" s="6" t="s">
        <v>954</v>
      </c>
    </row>
    <row r="3254">
      <c r="Y3254" s="6" t="s">
        <v>954</v>
      </c>
    </row>
    <row r="3255">
      <c r="Y3255" s="6" t="s">
        <v>954</v>
      </c>
    </row>
    <row r="3256">
      <c r="Y3256" s="6" t="s">
        <v>954</v>
      </c>
    </row>
    <row r="3257">
      <c r="Y3257" s="6" t="s">
        <v>954</v>
      </c>
    </row>
    <row r="3258">
      <c r="Y3258" s="6" t="s">
        <v>954</v>
      </c>
    </row>
    <row r="3259">
      <c r="Y3259" s="6" t="s">
        <v>954</v>
      </c>
    </row>
    <row r="3260">
      <c r="Y3260" s="6" t="s">
        <v>954</v>
      </c>
    </row>
    <row r="3261">
      <c r="Y3261" s="6" t="s">
        <v>954</v>
      </c>
    </row>
    <row r="3262">
      <c r="Y3262" s="6" t="s">
        <v>954</v>
      </c>
    </row>
    <row r="3263">
      <c r="Y3263" s="6" t="s">
        <v>954</v>
      </c>
    </row>
    <row r="3264">
      <c r="Y3264" s="6" t="s">
        <v>954</v>
      </c>
    </row>
    <row r="3265">
      <c r="Y3265" s="6" t="s">
        <v>954</v>
      </c>
    </row>
    <row r="3266">
      <c r="Y3266" s="6" t="s">
        <v>954</v>
      </c>
    </row>
    <row r="3267">
      <c r="Y3267" s="6" t="s">
        <v>954</v>
      </c>
    </row>
    <row r="3268">
      <c r="Y3268" s="6" t="s">
        <v>954</v>
      </c>
    </row>
    <row r="3269">
      <c r="Y3269" s="6" t="s">
        <v>954</v>
      </c>
    </row>
    <row r="3270">
      <c r="Y3270" s="6" t="s">
        <v>954</v>
      </c>
    </row>
    <row r="3271">
      <c r="Y3271" s="6" t="s">
        <v>954</v>
      </c>
    </row>
    <row r="3272">
      <c r="Y3272" s="6" t="s">
        <v>954</v>
      </c>
    </row>
    <row r="3273">
      <c r="Y3273" s="6" t="s">
        <v>954</v>
      </c>
    </row>
    <row r="3274">
      <c r="Y3274" s="6" t="s">
        <v>954</v>
      </c>
    </row>
    <row r="3275">
      <c r="Y3275" s="6" t="s">
        <v>954</v>
      </c>
    </row>
    <row r="3276">
      <c r="Y3276" s="6" t="s">
        <v>954</v>
      </c>
    </row>
    <row r="3277">
      <c r="Y3277" s="6" t="s">
        <v>954</v>
      </c>
    </row>
    <row r="3278">
      <c r="Y3278" s="6" t="s">
        <v>954</v>
      </c>
    </row>
    <row r="3279">
      <c r="Y3279" s="6" t="s">
        <v>954</v>
      </c>
    </row>
    <row r="3280">
      <c r="Y3280" s="6" t="s">
        <v>954</v>
      </c>
    </row>
    <row r="3281">
      <c r="Y3281" s="6" t="s">
        <v>954</v>
      </c>
    </row>
    <row r="3282">
      <c r="Y3282" s="6" t="s">
        <v>954</v>
      </c>
    </row>
    <row r="3283">
      <c r="Y3283" s="6" t="s">
        <v>954</v>
      </c>
    </row>
    <row r="3284">
      <c r="Y3284" s="6" t="s">
        <v>954</v>
      </c>
    </row>
    <row r="3285">
      <c r="Y3285" s="6" t="s">
        <v>954</v>
      </c>
    </row>
    <row r="3286">
      <c r="Y3286" s="6" t="s">
        <v>954</v>
      </c>
    </row>
    <row r="3287">
      <c r="Y3287" s="6" t="s">
        <v>954</v>
      </c>
    </row>
    <row r="3288">
      <c r="Y3288" s="6" t="s">
        <v>954</v>
      </c>
    </row>
    <row r="3289">
      <c r="Y3289" s="6" t="s">
        <v>954</v>
      </c>
    </row>
    <row r="3290">
      <c r="Y3290" s="6" t="s">
        <v>954</v>
      </c>
    </row>
    <row r="3291">
      <c r="Y3291" s="6" t="s">
        <v>954</v>
      </c>
    </row>
    <row r="3292">
      <c r="Y3292" s="6" t="s">
        <v>954</v>
      </c>
    </row>
    <row r="3293">
      <c r="Y3293" s="6" t="s">
        <v>954</v>
      </c>
    </row>
    <row r="3294">
      <c r="Y3294" s="6" t="s">
        <v>954</v>
      </c>
    </row>
    <row r="3295">
      <c r="Y3295" s="6" t="s">
        <v>954</v>
      </c>
    </row>
    <row r="3296">
      <c r="Y3296" s="6" t="s">
        <v>954</v>
      </c>
    </row>
    <row r="3297">
      <c r="Y3297" s="6" t="s">
        <v>954</v>
      </c>
    </row>
    <row r="3298">
      <c r="Y3298" s="6" t="s">
        <v>954</v>
      </c>
    </row>
    <row r="3299">
      <c r="Y3299" s="6" t="s">
        <v>954</v>
      </c>
    </row>
    <row r="3300">
      <c r="Y3300" s="6" t="s">
        <v>954</v>
      </c>
    </row>
    <row r="3301">
      <c r="Y3301" s="6" t="s">
        <v>954</v>
      </c>
    </row>
    <row r="3302">
      <c r="Y3302" s="6" t="s">
        <v>954</v>
      </c>
    </row>
    <row r="3303">
      <c r="Y3303" s="6" t="s">
        <v>954</v>
      </c>
    </row>
    <row r="3304">
      <c r="Y3304" s="6" t="s">
        <v>954</v>
      </c>
    </row>
    <row r="3305">
      <c r="Y3305" s="6" t="s">
        <v>954</v>
      </c>
    </row>
    <row r="3306">
      <c r="Y3306" s="6" t="s">
        <v>954</v>
      </c>
    </row>
    <row r="3307">
      <c r="Y3307" s="6" t="s">
        <v>954</v>
      </c>
    </row>
    <row r="3308">
      <c r="Y3308" s="6" t="s">
        <v>954</v>
      </c>
    </row>
    <row r="3309">
      <c r="Y3309" s="6" t="s">
        <v>954</v>
      </c>
    </row>
    <row r="3310">
      <c r="Y3310" s="6" t="s">
        <v>954</v>
      </c>
    </row>
    <row r="3311">
      <c r="Y3311" s="6" t="s">
        <v>954</v>
      </c>
    </row>
    <row r="3312">
      <c r="Y3312" s="6" t="s">
        <v>954</v>
      </c>
    </row>
    <row r="3313">
      <c r="Y3313" s="6" t="s">
        <v>954</v>
      </c>
    </row>
    <row r="3314">
      <c r="Y3314" s="6" t="s">
        <v>954</v>
      </c>
    </row>
    <row r="3315">
      <c r="Y3315" s="6" t="s">
        <v>954</v>
      </c>
    </row>
    <row r="3316">
      <c r="Y3316" s="6" t="s">
        <v>954</v>
      </c>
    </row>
    <row r="3317">
      <c r="Y3317" s="6" t="s">
        <v>954</v>
      </c>
    </row>
    <row r="3318">
      <c r="Y3318" s="6" t="s">
        <v>954</v>
      </c>
    </row>
    <row r="3319">
      <c r="Y3319" s="6" t="s">
        <v>954</v>
      </c>
    </row>
    <row r="3320">
      <c r="Y3320" s="6" t="s">
        <v>954</v>
      </c>
    </row>
    <row r="3321">
      <c r="Y3321" s="6" t="s">
        <v>954</v>
      </c>
    </row>
    <row r="3322">
      <c r="Y3322" s="6" t="s">
        <v>954</v>
      </c>
    </row>
    <row r="3323">
      <c r="Y3323" s="6" t="s">
        <v>954</v>
      </c>
    </row>
    <row r="3324">
      <c r="Y3324" s="6" t="s">
        <v>954</v>
      </c>
    </row>
    <row r="3325">
      <c r="Y3325" s="6" t="s">
        <v>954</v>
      </c>
    </row>
    <row r="3326">
      <c r="Y3326" s="6" t="s">
        <v>954</v>
      </c>
    </row>
    <row r="3327">
      <c r="Y3327" s="6" t="s">
        <v>954</v>
      </c>
    </row>
    <row r="3328">
      <c r="Y3328" s="6" t="s">
        <v>954</v>
      </c>
    </row>
    <row r="3329">
      <c r="Y3329" s="6" t="s">
        <v>954</v>
      </c>
    </row>
    <row r="3330">
      <c r="Y3330" s="6" t="s">
        <v>954</v>
      </c>
    </row>
    <row r="3331">
      <c r="Y3331" s="6" t="s">
        <v>954</v>
      </c>
    </row>
    <row r="3332">
      <c r="Y3332" s="6" t="s">
        <v>954</v>
      </c>
    </row>
    <row r="3333">
      <c r="Y3333" s="6" t="s">
        <v>954</v>
      </c>
    </row>
    <row r="3334">
      <c r="Y3334" s="6" t="s">
        <v>954</v>
      </c>
    </row>
    <row r="3335">
      <c r="Y3335" s="6" t="s">
        <v>954</v>
      </c>
    </row>
    <row r="3336">
      <c r="Y3336" s="6" t="s">
        <v>954</v>
      </c>
    </row>
    <row r="3337">
      <c r="Y3337" s="6" t="s">
        <v>954</v>
      </c>
    </row>
    <row r="3338">
      <c r="Y3338" s="6" t="s">
        <v>954</v>
      </c>
    </row>
    <row r="3339">
      <c r="Y3339" s="6" t="s">
        <v>954</v>
      </c>
    </row>
    <row r="3340">
      <c r="Y3340" s="6" t="s">
        <v>954</v>
      </c>
    </row>
    <row r="3341">
      <c r="Y3341" s="6" t="s">
        <v>954</v>
      </c>
    </row>
    <row r="3342">
      <c r="Y3342" s="6" t="s">
        <v>954</v>
      </c>
    </row>
    <row r="3343">
      <c r="Y3343" s="6" t="s">
        <v>954</v>
      </c>
    </row>
    <row r="3344">
      <c r="Y3344" s="6" t="s">
        <v>954</v>
      </c>
    </row>
    <row r="3345">
      <c r="Y3345" s="6" t="s">
        <v>954</v>
      </c>
    </row>
    <row r="3346">
      <c r="Y3346" s="6" t="s">
        <v>954</v>
      </c>
    </row>
    <row r="3347">
      <c r="Y3347" s="6" t="s">
        <v>954</v>
      </c>
    </row>
    <row r="3348">
      <c r="Y3348" s="6" t="s">
        <v>954</v>
      </c>
    </row>
    <row r="3349">
      <c r="Y3349" s="6" t="s">
        <v>954</v>
      </c>
    </row>
    <row r="3350">
      <c r="Y3350" s="6" t="s">
        <v>954</v>
      </c>
    </row>
    <row r="3351">
      <c r="Y3351" s="6" t="s">
        <v>954</v>
      </c>
    </row>
    <row r="3352">
      <c r="Y3352" s="6" t="s">
        <v>954</v>
      </c>
    </row>
    <row r="3353">
      <c r="Y3353" s="6" t="s">
        <v>954</v>
      </c>
    </row>
    <row r="3354">
      <c r="Y3354" s="6" t="s">
        <v>954</v>
      </c>
    </row>
    <row r="3355">
      <c r="Y3355" s="6" t="s">
        <v>954</v>
      </c>
    </row>
    <row r="3356">
      <c r="Y3356" s="6" t="s">
        <v>954</v>
      </c>
    </row>
    <row r="3357">
      <c r="Y3357" s="6" t="s">
        <v>954</v>
      </c>
    </row>
    <row r="3358">
      <c r="Y3358" s="6" t="s">
        <v>954</v>
      </c>
    </row>
    <row r="3359">
      <c r="Y3359" s="6" t="s">
        <v>954</v>
      </c>
    </row>
    <row r="3360">
      <c r="Y3360" s="6" t="s">
        <v>954</v>
      </c>
    </row>
    <row r="3361">
      <c r="Y3361" s="6" t="s">
        <v>954</v>
      </c>
    </row>
    <row r="3362">
      <c r="Y3362" s="6" t="s">
        <v>954</v>
      </c>
    </row>
    <row r="3363">
      <c r="Y3363" s="6" t="s">
        <v>954</v>
      </c>
    </row>
    <row r="3364">
      <c r="Y3364" s="6" t="s">
        <v>954</v>
      </c>
    </row>
    <row r="3365">
      <c r="Y3365" s="6" t="s">
        <v>954</v>
      </c>
    </row>
    <row r="3366">
      <c r="Y3366" s="6" t="s">
        <v>954</v>
      </c>
    </row>
    <row r="3367">
      <c r="Y3367" s="6" t="s">
        <v>954</v>
      </c>
    </row>
    <row r="3368">
      <c r="Y3368" s="6" t="s">
        <v>954</v>
      </c>
    </row>
    <row r="3369">
      <c r="Y3369" s="6" t="s">
        <v>954</v>
      </c>
    </row>
    <row r="3370">
      <c r="Y3370" s="6" t="s">
        <v>954</v>
      </c>
    </row>
    <row r="3371">
      <c r="Y3371" s="6" t="s">
        <v>954</v>
      </c>
    </row>
    <row r="3372">
      <c r="Y3372" s="6" t="s">
        <v>954</v>
      </c>
    </row>
    <row r="3373">
      <c r="Y3373" s="6" t="s">
        <v>954</v>
      </c>
    </row>
    <row r="3374">
      <c r="Y3374" s="6" t="s">
        <v>954</v>
      </c>
    </row>
    <row r="3375">
      <c r="Y3375" s="6" t="s">
        <v>954</v>
      </c>
    </row>
    <row r="3376">
      <c r="Y3376" s="6" t="s">
        <v>954</v>
      </c>
    </row>
    <row r="3377">
      <c r="Y3377" s="6" t="s">
        <v>954</v>
      </c>
    </row>
    <row r="3378">
      <c r="Y3378" s="6" t="s">
        <v>954</v>
      </c>
    </row>
    <row r="3379">
      <c r="Y3379" s="6" t="s">
        <v>954</v>
      </c>
    </row>
    <row r="3380">
      <c r="Y3380" s="6" t="s">
        <v>954</v>
      </c>
    </row>
    <row r="3381">
      <c r="Y3381" s="6" t="s">
        <v>954</v>
      </c>
    </row>
    <row r="3382">
      <c r="Y3382" s="6" t="s">
        <v>954</v>
      </c>
    </row>
    <row r="3383">
      <c r="Y3383" s="6" t="s">
        <v>954</v>
      </c>
    </row>
    <row r="3384">
      <c r="Y3384" s="6" t="s">
        <v>954</v>
      </c>
    </row>
    <row r="3385">
      <c r="Y3385" s="6" t="s">
        <v>954</v>
      </c>
    </row>
    <row r="3386">
      <c r="Y3386" s="6" t="s">
        <v>954</v>
      </c>
    </row>
    <row r="3387">
      <c r="Y3387" s="6" t="s">
        <v>954</v>
      </c>
    </row>
    <row r="3388">
      <c r="Y3388" s="6" t="s">
        <v>954</v>
      </c>
    </row>
    <row r="3389">
      <c r="Y3389" s="6" t="s">
        <v>954</v>
      </c>
    </row>
    <row r="3390">
      <c r="Y3390" s="6" t="s">
        <v>954</v>
      </c>
    </row>
    <row r="3391">
      <c r="Y3391" s="6" t="s">
        <v>954</v>
      </c>
    </row>
    <row r="3392">
      <c r="Y3392" s="6" t="s">
        <v>954</v>
      </c>
    </row>
    <row r="3393">
      <c r="Y3393" s="6" t="s">
        <v>954</v>
      </c>
    </row>
    <row r="3394">
      <c r="Y3394" s="6" t="s">
        <v>954</v>
      </c>
    </row>
    <row r="3395">
      <c r="Y3395" s="6" t="s">
        <v>954</v>
      </c>
    </row>
    <row r="3396">
      <c r="Y3396" s="6" t="s">
        <v>954</v>
      </c>
    </row>
    <row r="3397">
      <c r="Y3397" s="6" t="s">
        <v>954</v>
      </c>
    </row>
    <row r="3398">
      <c r="Y3398" s="6" t="s">
        <v>954</v>
      </c>
    </row>
    <row r="3399">
      <c r="Y3399" s="6" t="s">
        <v>954</v>
      </c>
    </row>
    <row r="3400">
      <c r="Y3400" s="6" t="s">
        <v>954</v>
      </c>
    </row>
    <row r="3401">
      <c r="Y3401" s="6" t="s">
        <v>954</v>
      </c>
    </row>
    <row r="3402">
      <c r="Y3402" s="6" t="s">
        <v>954</v>
      </c>
    </row>
    <row r="3403">
      <c r="Y3403" s="6" t="s">
        <v>954</v>
      </c>
    </row>
    <row r="3404">
      <c r="Y3404" s="6" t="s">
        <v>954</v>
      </c>
    </row>
    <row r="3405">
      <c r="Y3405" s="6" t="s">
        <v>954</v>
      </c>
    </row>
    <row r="3406">
      <c r="Y3406" s="6" t="s">
        <v>954</v>
      </c>
    </row>
    <row r="3407">
      <c r="Y3407" s="6" t="s">
        <v>954</v>
      </c>
    </row>
    <row r="3408">
      <c r="Y3408" s="6" t="s">
        <v>954</v>
      </c>
    </row>
    <row r="3409">
      <c r="Y3409" s="6" t="s">
        <v>954</v>
      </c>
    </row>
    <row r="3410">
      <c r="Y3410" s="6" t="s">
        <v>954</v>
      </c>
    </row>
    <row r="3411">
      <c r="Y3411" s="6" t="s">
        <v>954</v>
      </c>
    </row>
    <row r="3412">
      <c r="Y3412" s="6" t="s">
        <v>954</v>
      </c>
    </row>
    <row r="3413">
      <c r="Y3413" s="6" t="s">
        <v>954</v>
      </c>
    </row>
    <row r="3414">
      <c r="Y3414" s="6" t="s">
        <v>954</v>
      </c>
    </row>
    <row r="3415">
      <c r="Y3415" s="6" t="s">
        <v>954</v>
      </c>
    </row>
    <row r="3416">
      <c r="Y3416" s="6" t="s">
        <v>954</v>
      </c>
    </row>
    <row r="3417">
      <c r="Y3417" s="6" t="s">
        <v>954</v>
      </c>
    </row>
    <row r="3418">
      <c r="Y3418" s="6" t="s">
        <v>954</v>
      </c>
    </row>
    <row r="3419">
      <c r="Y3419" s="6" t="s">
        <v>954</v>
      </c>
    </row>
    <row r="3420">
      <c r="Y3420" s="6" t="s">
        <v>954</v>
      </c>
    </row>
    <row r="3421">
      <c r="Y3421" s="6" t="s">
        <v>954</v>
      </c>
    </row>
    <row r="3422">
      <c r="Y3422" s="6" t="s">
        <v>954</v>
      </c>
    </row>
    <row r="3423">
      <c r="Y3423" s="6" t="s">
        <v>954</v>
      </c>
    </row>
    <row r="3424">
      <c r="Y3424" s="6" t="s">
        <v>954</v>
      </c>
    </row>
    <row r="3425">
      <c r="Y3425" s="6" t="s">
        <v>954</v>
      </c>
    </row>
    <row r="3426">
      <c r="Y3426" s="6" t="s">
        <v>954</v>
      </c>
    </row>
    <row r="3427">
      <c r="Y3427" s="6" t="s">
        <v>954</v>
      </c>
    </row>
    <row r="3428">
      <c r="Y3428" s="6" t="s">
        <v>954</v>
      </c>
    </row>
    <row r="3429">
      <c r="Y3429" s="6" t="s">
        <v>954</v>
      </c>
    </row>
    <row r="3430">
      <c r="Y3430" s="6" t="s">
        <v>954</v>
      </c>
    </row>
    <row r="3431">
      <c r="Y3431" s="6" t="s">
        <v>954</v>
      </c>
    </row>
    <row r="3432">
      <c r="Y3432" s="6" t="s">
        <v>954</v>
      </c>
    </row>
    <row r="3433">
      <c r="Y3433" s="6" t="s">
        <v>954</v>
      </c>
    </row>
    <row r="3434">
      <c r="Y3434" s="6" t="s">
        <v>954</v>
      </c>
    </row>
    <row r="3435">
      <c r="Y3435" s="6" t="s">
        <v>954</v>
      </c>
    </row>
    <row r="3436">
      <c r="Y3436" s="6" t="s">
        <v>954</v>
      </c>
    </row>
    <row r="3437">
      <c r="Y3437" s="6" t="s">
        <v>954</v>
      </c>
    </row>
    <row r="3438">
      <c r="Y3438" s="6" t="s">
        <v>954</v>
      </c>
    </row>
    <row r="3439">
      <c r="Y3439" s="6" t="s">
        <v>954</v>
      </c>
    </row>
    <row r="3440">
      <c r="Y3440" s="6" t="s">
        <v>954</v>
      </c>
    </row>
    <row r="3441">
      <c r="Y3441" s="6" t="s">
        <v>954</v>
      </c>
    </row>
    <row r="3442">
      <c r="Y3442" s="6" t="s">
        <v>954</v>
      </c>
    </row>
    <row r="3443">
      <c r="Y3443" s="6" t="s">
        <v>954</v>
      </c>
    </row>
    <row r="3444">
      <c r="Y3444" s="6" t="s">
        <v>954</v>
      </c>
    </row>
    <row r="3445">
      <c r="Y3445" s="6" t="s">
        <v>954</v>
      </c>
    </row>
    <row r="3446">
      <c r="Y3446" s="6" t="s">
        <v>954</v>
      </c>
    </row>
    <row r="3447">
      <c r="Y3447" s="6" t="s">
        <v>954</v>
      </c>
    </row>
    <row r="3448">
      <c r="Y3448" s="6" t="s">
        <v>954</v>
      </c>
    </row>
    <row r="3449">
      <c r="Y3449" s="6" t="s">
        <v>954</v>
      </c>
    </row>
    <row r="3450">
      <c r="Y3450" s="6" t="s">
        <v>954</v>
      </c>
    </row>
    <row r="3451">
      <c r="Y3451" s="6" t="s">
        <v>954</v>
      </c>
    </row>
    <row r="3452">
      <c r="Y3452" s="6" t="s">
        <v>954</v>
      </c>
    </row>
    <row r="3453">
      <c r="Y3453" s="6" t="s">
        <v>954</v>
      </c>
    </row>
    <row r="3454">
      <c r="Y3454" s="6" t="s">
        <v>954</v>
      </c>
    </row>
    <row r="3455">
      <c r="Y3455" s="6" t="s">
        <v>954</v>
      </c>
    </row>
    <row r="3456">
      <c r="Y3456" s="6" t="s">
        <v>954</v>
      </c>
    </row>
    <row r="3457">
      <c r="Y3457" s="6" t="s">
        <v>954</v>
      </c>
    </row>
    <row r="3458">
      <c r="Y3458" s="6" t="s">
        <v>954</v>
      </c>
    </row>
    <row r="3459">
      <c r="Y3459" s="6" t="s">
        <v>954</v>
      </c>
    </row>
    <row r="3460">
      <c r="Y3460" s="6" t="s">
        <v>954</v>
      </c>
    </row>
    <row r="3461">
      <c r="Y3461" s="6" t="s">
        <v>954</v>
      </c>
    </row>
    <row r="3462">
      <c r="Y3462" s="6" t="s">
        <v>954</v>
      </c>
    </row>
    <row r="3463">
      <c r="Y3463" s="6" t="s">
        <v>954</v>
      </c>
    </row>
    <row r="3464">
      <c r="Y3464" s="6" t="s">
        <v>954</v>
      </c>
    </row>
    <row r="3465">
      <c r="Y3465" s="6" t="s">
        <v>954</v>
      </c>
    </row>
    <row r="3466">
      <c r="Y3466" s="6" t="s">
        <v>954</v>
      </c>
    </row>
    <row r="3467">
      <c r="Y3467" s="6" t="s">
        <v>954</v>
      </c>
    </row>
    <row r="3468">
      <c r="Y3468" s="6" t="s">
        <v>954</v>
      </c>
    </row>
    <row r="3469">
      <c r="Y3469" s="6" t="s">
        <v>954</v>
      </c>
    </row>
    <row r="3470">
      <c r="Y3470" s="6" t="s">
        <v>954</v>
      </c>
    </row>
    <row r="3471">
      <c r="Y3471" s="6" t="s">
        <v>954</v>
      </c>
    </row>
    <row r="3472">
      <c r="Y3472" s="6" t="s">
        <v>954</v>
      </c>
    </row>
    <row r="3473">
      <c r="Y3473" s="6" t="s">
        <v>954</v>
      </c>
    </row>
    <row r="3474">
      <c r="Y3474" s="6" t="s">
        <v>954</v>
      </c>
    </row>
    <row r="3475">
      <c r="Y3475" s="6" t="s">
        <v>954</v>
      </c>
    </row>
    <row r="3476">
      <c r="Y3476" s="6" t="s">
        <v>954</v>
      </c>
    </row>
    <row r="3477">
      <c r="Y3477" s="6" t="s">
        <v>954</v>
      </c>
    </row>
    <row r="3478">
      <c r="Y3478" s="6" t="s">
        <v>954</v>
      </c>
    </row>
    <row r="3479">
      <c r="Y3479" s="6" t="s">
        <v>954</v>
      </c>
    </row>
    <row r="3480">
      <c r="Y3480" s="6" t="s">
        <v>954</v>
      </c>
    </row>
    <row r="3481">
      <c r="Y3481" s="6" t="s">
        <v>954</v>
      </c>
    </row>
    <row r="3482">
      <c r="Y3482" s="6" t="s">
        <v>954</v>
      </c>
    </row>
    <row r="3483">
      <c r="Y3483" s="6" t="s">
        <v>954</v>
      </c>
    </row>
    <row r="3484">
      <c r="Y3484" s="6" t="s">
        <v>954</v>
      </c>
    </row>
    <row r="3485">
      <c r="Y3485" s="6" t="s">
        <v>954</v>
      </c>
    </row>
    <row r="3486">
      <c r="Y3486" s="6" t="s">
        <v>954</v>
      </c>
    </row>
    <row r="3487">
      <c r="Y3487" s="6" t="s">
        <v>954</v>
      </c>
    </row>
    <row r="3488">
      <c r="Y3488" s="6" t="s">
        <v>954</v>
      </c>
    </row>
    <row r="3489">
      <c r="Y3489" s="6" t="s">
        <v>954</v>
      </c>
    </row>
    <row r="3490">
      <c r="Y3490" s="6" t="s">
        <v>954</v>
      </c>
    </row>
    <row r="3491">
      <c r="Y3491" s="6" t="s">
        <v>954</v>
      </c>
    </row>
    <row r="3492">
      <c r="Y3492" s="6" t="s">
        <v>954</v>
      </c>
    </row>
    <row r="3493">
      <c r="Y3493" s="6" t="s">
        <v>954</v>
      </c>
    </row>
    <row r="3494">
      <c r="Y3494" s="6" t="s">
        <v>954</v>
      </c>
    </row>
    <row r="3495">
      <c r="Y3495" s="6" t="s">
        <v>954</v>
      </c>
    </row>
    <row r="3496">
      <c r="Y3496" s="6" t="s">
        <v>954</v>
      </c>
    </row>
    <row r="3497">
      <c r="Y3497" s="6" t="s">
        <v>954</v>
      </c>
    </row>
    <row r="3498">
      <c r="Y3498" s="6" t="s">
        <v>954</v>
      </c>
    </row>
    <row r="3499">
      <c r="Y3499" s="6" t="s">
        <v>954</v>
      </c>
    </row>
    <row r="3500">
      <c r="Y3500" s="6" t="s">
        <v>954</v>
      </c>
    </row>
    <row r="3501">
      <c r="Y3501" s="6" t="s">
        <v>954</v>
      </c>
    </row>
    <row r="3502">
      <c r="Y3502" s="6" t="s">
        <v>954</v>
      </c>
    </row>
    <row r="3503">
      <c r="Y3503" s="6" t="s">
        <v>954</v>
      </c>
    </row>
    <row r="3504">
      <c r="Y3504" s="6" t="s">
        <v>954</v>
      </c>
    </row>
    <row r="3505">
      <c r="Y3505" s="6" t="s">
        <v>954</v>
      </c>
    </row>
    <row r="3506">
      <c r="Y3506" s="6" t="s">
        <v>954</v>
      </c>
    </row>
    <row r="3507">
      <c r="Y3507" s="6" t="s">
        <v>954</v>
      </c>
    </row>
    <row r="3508">
      <c r="Y3508" s="6" t="s">
        <v>954</v>
      </c>
    </row>
    <row r="3509">
      <c r="Y3509" s="6" t="s">
        <v>954</v>
      </c>
    </row>
    <row r="3510">
      <c r="Y3510" s="6" t="s">
        <v>954</v>
      </c>
    </row>
    <row r="3511">
      <c r="Y3511" s="6" t="s">
        <v>954</v>
      </c>
    </row>
    <row r="3512">
      <c r="Y3512" s="6" t="s">
        <v>954</v>
      </c>
    </row>
    <row r="3513">
      <c r="Y3513" s="6" t="s">
        <v>954</v>
      </c>
    </row>
    <row r="3514">
      <c r="Y3514" s="6" t="s">
        <v>954</v>
      </c>
    </row>
    <row r="3515">
      <c r="Y3515" s="6" t="s">
        <v>954</v>
      </c>
    </row>
    <row r="3516">
      <c r="Y3516" s="6" t="s">
        <v>954</v>
      </c>
    </row>
    <row r="3517">
      <c r="Y3517" s="6" t="s">
        <v>954</v>
      </c>
    </row>
    <row r="3518">
      <c r="Y3518" s="6" t="s">
        <v>954</v>
      </c>
    </row>
    <row r="3519">
      <c r="Y3519" s="6" t="s">
        <v>954</v>
      </c>
    </row>
    <row r="3520">
      <c r="Y3520" s="6" t="s">
        <v>954</v>
      </c>
    </row>
    <row r="3521">
      <c r="Y3521" s="6" t="s">
        <v>954</v>
      </c>
    </row>
    <row r="3522">
      <c r="Y3522" s="6" t="s">
        <v>954</v>
      </c>
    </row>
    <row r="3523">
      <c r="Y3523" s="6" t="s">
        <v>954</v>
      </c>
    </row>
    <row r="3524">
      <c r="Y3524" s="6" t="s">
        <v>954</v>
      </c>
    </row>
    <row r="3525">
      <c r="Y3525" s="6" t="s">
        <v>954</v>
      </c>
    </row>
    <row r="3526">
      <c r="Y3526" s="6" t="s">
        <v>954</v>
      </c>
    </row>
    <row r="3527">
      <c r="Y3527" s="6" t="s">
        <v>954</v>
      </c>
    </row>
    <row r="3528">
      <c r="Y3528" s="6" t="s">
        <v>954</v>
      </c>
    </row>
    <row r="3529">
      <c r="Y3529" s="6" t="s">
        <v>954</v>
      </c>
    </row>
    <row r="3530">
      <c r="Y3530" s="6" t="s">
        <v>954</v>
      </c>
    </row>
    <row r="3531">
      <c r="Y3531" s="6" t="s">
        <v>954</v>
      </c>
    </row>
    <row r="3532">
      <c r="Y3532" s="6" t="s">
        <v>954</v>
      </c>
    </row>
    <row r="3533">
      <c r="Y3533" s="6" t="s">
        <v>954</v>
      </c>
    </row>
    <row r="3534">
      <c r="Y3534" s="6" t="s">
        <v>954</v>
      </c>
    </row>
    <row r="3535">
      <c r="Y3535" s="6" t="s">
        <v>954</v>
      </c>
    </row>
    <row r="3536">
      <c r="Y3536" s="6" t="s">
        <v>954</v>
      </c>
    </row>
    <row r="3537">
      <c r="Y3537" s="6" t="s">
        <v>954</v>
      </c>
    </row>
    <row r="3538">
      <c r="Y3538" s="6" t="s">
        <v>954</v>
      </c>
    </row>
    <row r="3539">
      <c r="Y3539" s="6" t="s">
        <v>954</v>
      </c>
    </row>
    <row r="3540">
      <c r="Y3540" s="6" t="s">
        <v>954</v>
      </c>
    </row>
    <row r="3541">
      <c r="Y3541" s="6" t="s">
        <v>954</v>
      </c>
    </row>
    <row r="3542">
      <c r="Y3542" s="6" t="s">
        <v>954</v>
      </c>
    </row>
    <row r="3543">
      <c r="Y3543" s="6" t="s">
        <v>954</v>
      </c>
    </row>
    <row r="3544">
      <c r="Y3544" s="6" t="s">
        <v>954</v>
      </c>
    </row>
    <row r="3545">
      <c r="Y3545" s="6" t="s">
        <v>954</v>
      </c>
    </row>
    <row r="3546">
      <c r="Y3546" s="6" t="s">
        <v>954</v>
      </c>
    </row>
    <row r="3547">
      <c r="Y3547" s="6" t="s">
        <v>954</v>
      </c>
    </row>
    <row r="3548">
      <c r="Y3548" s="6" t="s">
        <v>954</v>
      </c>
    </row>
    <row r="3549">
      <c r="Y3549" s="6" t="s">
        <v>954</v>
      </c>
    </row>
    <row r="3550">
      <c r="Y3550" s="6" t="s">
        <v>954</v>
      </c>
    </row>
    <row r="3551">
      <c r="Y3551" s="6" t="s">
        <v>954</v>
      </c>
    </row>
    <row r="3552">
      <c r="Y3552" s="6" t="s">
        <v>954</v>
      </c>
    </row>
    <row r="3553">
      <c r="Y3553" s="6" t="s">
        <v>954</v>
      </c>
    </row>
    <row r="3554">
      <c r="Y3554" s="6" t="s">
        <v>954</v>
      </c>
    </row>
    <row r="3555">
      <c r="Y3555" s="6" t="s">
        <v>954</v>
      </c>
    </row>
    <row r="3556">
      <c r="Y3556" s="6" t="s">
        <v>954</v>
      </c>
    </row>
    <row r="3557">
      <c r="Y3557" s="6" t="s">
        <v>954</v>
      </c>
    </row>
    <row r="3558">
      <c r="Y3558" s="6" t="s">
        <v>954</v>
      </c>
    </row>
    <row r="3559">
      <c r="Y3559" s="6" t="s">
        <v>954</v>
      </c>
    </row>
    <row r="3560">
      <c r="Y3560" s="6" t="s">
        <v>954</v>
      </c>
    </row>
    <row r="3561">
      <c r="Y3561" s="6" t="s">
        <v>954</v>
      </c>
    </row>
    <row r="3562">
      <c r="Y3562" s="6" t="s">
        <v>954</v>
      </c>
    </row>
    <row r="3563">
      <c r="Y3563" s="6" t="s">
        <v>954</v>
      </c>
    </row>
    <row r="3564">
      <c r="Y3564" s="6" t="s">
        <v>954</v>
      </c>
    </row>
    <row r="3565">
      <c r="Y3565" s="6" t="s">
        <v>954</v>
      </c>
    </row>
    <row r="3566">
      <c r="Y3566" s="6" t="s">
        <v>954</v>
      </c>
    </row>
    <row r="3567">
      <c r="Y3567" s="6" t="s">
        <v>954</v>
      </c>
    </row>
    <row r="3568">
      <c r="Y3568" s="6" t="s">
        <v>954</v>
      </c>
    </row>
    <row r="3569">
      <c r="Y3569" s="6" t="s">
        <v>954</v>
      </c>
    </row>
    <row r="3570">
      <c r="Y3570" s="6" t="s">
        <v>954</v>
      </c>
    </row>
    <row r="3571">
      <c r="Y3571" s="6" t="s">
        <v>954</v>
      </c>
    </row>
    <row r="3572">
      <c r="Y3572" s="6" t="s">
        <v>954</v>
      </c>
    </row>
    <row r="3573">
      <c r="Y3573" s="6" t="s">
        <v>954</v>
      </c>
    </row>
    <row r="3574">
      <c r="Y3574" s="6" t="s">
        <v>954</v>
      </c>
    </row>
    <row r="3575">
      <c r="Y3575" s="6" t="s">
        <v>954</v>
      </c>
    </row>
    <row r="3576">
      <c r="Y3576" s="6" t="s">
        <v>954</v>
      </c>
    </row>
    <row r="3577">
      <c r="Y3577" s="6" t="s">
        <v>954</v>
      </c>
    </row>
    <row r="3578">
      <c r="Y3578" s="6" t="s">
        <v>954</v>
      </c>
    </row>
    <row r="3579">
      <c r="Y3579" s="6" t="s">
        <v>954</v>
      </c>
    </row>
    <row r="3580">
      <c r="Y3580" s="6" t="s">
        <v>954</v>
      </c>
    </row>
    <row r="3581">
      <c r="Y3581" s="6" t="s">
        <v>954</v>
      </c>
    </row>
    <row r="3582">
      <c r="Y3582" s="6" t="s">
        <v>954</v>
      </c>
    </row>
    <row r="3583">
      <c r="Y3583" s="6" t="s">
        <v>954</v>
      </c>
    </row>
    <row r="3584">
      <c r="Y3584" s="6" t="s">
        <v>954</v>
      </c>
    </row>
    <row r="3585">
      <c r="Y3585" s="6" t="s">
        <v>954</v>
      </c>
    </row>
    <row r="3586">
      <c r="Y3586" s="6" t="s">
        <v>954</v>
      </c>
    </row>
    <row r="3587">
      <c r="Y3587" s="6" t="s">
        <v>954</v>
      </c>
    </row>
    <row r="3588">
      <c r="Y3588" s="6" t="s">
        <v>954</v>
      </c>
    </row>
    <row r="3589">
      <c r="Y3589" s="6" t="s">
        <v>954</v>
      </c>
    </row>
    <row r="3590">
      <c r="Y3590" s="6" t="s">
        <v>954</v>
      </c>
    </row>
    <row r="3591">
      <c r="Y3591" s="6" t="s">
        <v>954</v>
      </c>
    </row>
    <row r="3592">
      <c r="Y3592" s="6" t="s">
        <v>954</v>
      </c>
    </row>
    <row r="3593">
      <c r="Y3593" s="6" t="s">
        <v>954</v>
      </c>
    </row>
    <row r="3594">
      <c r="Y3594" s="6" t="s">
        <v>954</v>
      </c>
    </row>
    <row r="3595">
      <c r="Y3595" s="6" t="s">
        <v>954</v>
      </c>
    </row>
    <row r="3596">
      <c r="Y3596" s="6" t="s">
        <v>954</v>
      </c>
    </row>
    <row r="3597">
      <c r="Y3597" s="6" t="s">
        <v>954</v>
      </c>
    </row>
    <row r="3598">
      <c r="Y3598" s="6" t="s">
        <v>954</v>
      </c>
    </row>
    <row r="3599">
      <c r="Y3599" s="6" t="s">
        <v>954</v>
      </c>
    </row>
    <row r="3600">
      <c r="Y3600" s="6" t="s">
        <v>954</v>
      </c>
    </row>
    <row r="3601">
      <c r="Y3601" s="6" t="s">
        <v>954</v>
      </c>
    </row>
    <row r="3602">
      <c r="Y3602" s="6" t="s">
        <v>954</v>
      </c>
    </row>
    <row r="3603">
      <c r="Y3603" s="6" t="s">
        <v>954</v>
      </c>
    </row>
    <row r="3604">
      <c r="Y3604" s="6" t="s">
        <v>954</v>
      </c>
    </row>
    <row r="3605">
      <c r="Y3605" s="6" t="s">
        <v>954</v>
      </c>
    </row>
    <row r="3606">
      <c r="Y3606" s="6" t="s">
        <v>954</v>
      </c>
    </row>
    <row r="3607">
      <c r="Y3607" s="6" t="s">
        <v>954</v>
      </c>
    </row>
    <row r="3608">
      <c r="Y3608" s="6" t="s">
        <v>954</v>
      </c>
    </row>
    <row r="3609">
      <c r="Y3609" s="6" t="s">
        <v>954</v>
      </c>
    </row>
    <row r="3610">
      <c r="Y3610" s="6" t="s">
        <v>954</v>
      </c>
    </row>
    <row r="3611">
      <c r="Y3611" s="6" t="s">
        <v>954</v>
      </c>
    </row>
    <row r="3612">
      <c r="Y3612" s="6" t="s">
        <v>954</v>
      </c>
    </row>
    <row r="3613">
      <c r="Y3613" s="6" t="s">
        <v>954</v>
      </c>
    </row>
    <row r="3614">
      <c r="Y3614" s="6" t="s">
        <v>954</v>
      </c>
    </row>
    <row r="3615">
      <c r="Y3615" s="6" t="s">
        <v>954</v>
      </c>
    </row>
    <row r="3616">
      <c r="Y3616" s="6" t="s">
        <v>954</v>
      </c>
    </row>
    <row r="3617">
      <c r="Y3617" s="6" t="s">
        <v>954</v>
      </c>
    </row>
    <row r="3618">
      <c r="Y3618" s="6" t="s">
        <v>954</v>
      </c>
    </row>
    <row r="3619">
      <c r="Y3619" s="6" t="s">
        <v>954</v>
      </c>
    </row>
    <row r="3620">
      <c r="Y3620" s="6" t="s">
        <v>954</v>
      </c>
    </row>
    <row r="3621">
      <c r="Y3621" s="6" t="s">
        <v>954</v>
      </c>
    </row>
    <row r="3622">
      <c r="Y3622" s="6" t="s">
        <v>954</v>
      </c>
    </row>
    <row r="3623">
      <c r="Y3623" s="6" t="s">
        <v>954</v>
      </c>
    </row>
    <row r="3624">
      <c r="Y3624" s="6" t="s">
        <v>954</v>
      </c>
    </row>
    <row r="3625">
      <c r="Y3625" s="6" t="s">
        <v>954</v>
      </c>
    </row>
    <row r="3626">
      <c r="Y3626" s="6" t="s">
        <v>954</v>
      </c>
    </row>
    <row r="3627">
      <c r="Y3627" s="6" t="s">
        <v>954</v>
      </c>
    </row>
    <row r="3628">
      <c r="Y3628" s="6" t="s">
        <v>954</v>
      </c>
    </row>
    <row r="3629">
      <c r="Y3629" s="6" t="s">
        <v>954</v>
      </c>
    </row>
    <row r="3630">
      <c r="Y3630" s="6" t="s">
        <v>954</v>
      </c>
    </row>
    <row r="3631">
      <c r="Y3631" s="6" t="s">
        <v>954</v>
      </c>
    </row>
    <row r="3632">
      <c r="Y3632" s="6" t="s">
        <v>954</v>
      </c>
    </row>
    <row r="3633">
      <c r="Y3633" s="6" t="s">
        <v>954</v>
      </c>
    </row>
    <row r="3634">
      <c r="Y3634" s="6" t="s">
        <v>954</v>
      </c>
    </row>
    <row r="3635">
      <c r="Y3635" s="6" t="s">
        <v>954</v>
      </c>
    </row>
    <row r="3636">
      <c r="Y3636" s="6" t="s">
        <v>954</v>
      </c>
    </row>
    <row r="3637">
      <c r="Y3637" s="6" t="s">
        <v>954</v>
      </c>
    </row>
    <row r="3638">
      <c r="Y3638" s="6" t="s">
        <v>954</v>
      </c>
    </row>
    <row r="3639">
      <c r="Y3639" s="6" t="s">
        <v>954</v>
      </c>
    </row>
    <row r="3640">
      <c r="Y3640" s="6" t="s">
        <v>954</v>
      </c>
    </row>
    <row r="3641">
      <c r="Y3641" s="6" t="s">
        <v>954</v>
      </c>
    </row>
    <row r="3642">
      <c r="Y3642" s="6" t="s">
        <v>954</v>
      </c>
    </row>
    <row r="3643">
      <c r="Y3643" s="6" t="s">
        <v>954</v>
      </c>
    </row>
    <row r="3644">
      <c r="Y3644" s="6" t="s">
        <v>954</v>
      </c>
    </row>
    <row r="3645">
      <c r="Y3645" s="6" t="s">
        <v>954</v>
      </c>
    </row>
    <row r="3646">
      <c r="Y3646" s="6" t="s">
        <v>954</v>
      </c>
    </row>
    <row r="3647">
      <c r="Y3647" s="6" t="s">
        <v>954</v>
      </c>
    </row>
    <row r="3648">
      <c r="Y3648" s="6" t="s">
        <v>954</v>
      </c>
    </row>
    <row r="3649">
      <c r="Y3649" s="6" t="s">
        <v>954</v>
      </c>
    </row>
    <row r="3650">
      <c r="Y3650" s="6" t="s">
        <v>954</v>
      </c>
    </row>
    <row r="3651">
      <c r="Y3651" s="6" t="s">
        <v>954</v>
      </c>
    </row>
    <row r="3652">
      <c r="Y3652" s="6" t="s">
        <v>954</v>
      </c>
    </row>
    <row r="3653">
      <c r="Y3653" s="6" t="s">
        <v>954</v>
      </c>
    </row>
    <row r="3654">
      <c r="Y3654" s="6" t="s">
        <v>954</v>
      </c>
    </row>
    <row r="3655">
      <c r="Y3655" s="6" t="s">
        <v>954</v>
      </c>
    </row>
    <row r="3656">
      <c r="Y3656" s="6" t="s">
        <v>954</v>
      </c>
    </row>
    <row r="3657">
      <c r="Y3657" s="6" t="s">
        <v>954</v>
      </c>
    </row>
    <row r="3658">
      <c r="Y3658" s="6" t="s">
        <v>954</v>
      </c>
    </row>
    <row r="3659">
      <c r="Y3659" s="6" t="s">
        <v>954</v>
      </c>
    </row>
    <row r="3660">
      <c r="Y3660" s="6" t="s">
        <v>954</v>
      </c>
    </row>
    <row r="3661">
      <c r="Y3661" s="6" t="s">
        <v>954</v>
      </c>
    </row>
    <row r="3662">
      <c r="Y3662" s="6" t="s">
        <v>954</v>
      </c>
    </row>
    <row r="3663">
      <c r="Y3663" s="6" t="s">
        <v>954</v>
      </c>
    </row>
    <row r="3664">
      <c r="Y3664" s="6" t="s">
        <v>954</v>
      </c>
    </row>
    <row r="3665">
      <c r="Y3665" s="6" t="s">
        <v>954</v>
      </c>
    </row>
    <row r="3666">
      <c r="Y3666" s="6" t="s">
        <v>954</v>
      </c>
    </row>
    <row r="3667">
      <c r="Y3667" s="6" t="s">
        <v>954</v>
      </c>
    </row>
    <row r="3668">
      <c r="Y3668" s="6" t="s">
        <v>954</v>
      </c>
    </row>
    <row r="3669">
      <c r="Y3669" s="6" t="s">
        <v>954</v>
      </c>
    </row>
    <row r="3670">
      <c r="Y3670" s="6" t="s">
        <v>954</v>
      </c>
    </row>
    <row r="3671">
      <c r="Y3671" s="6" t="s">
        <v>954</v>
      </c>
    </row>
    <row r="3672">
      <c r="Y3672" s="6" t="s">
        <v>954</v>
      </c>
    </row>
    <row r="3673">
      <c r="Y3673" s="6" t="s">
        <v>954</v>
      </c>
    </row>
    <row r="3674">
      <c r="Y3674" s="6" t="s">
        <v>954</v>
      </c>
    </row>
    <row r="3675">
      <c r="Y3675" s="6" t="s">
        <v>954</v>
      </c>
    </row>
    <row r="3676">
      <c r="Y3676" s="6" t="s">
        <v>954</v>
      </c>
    </row>
    <row r="3677">
      <c r="Y3677" s="6" t="s">
        <v>954</v>
      </c>
    </row>
    <row r="3678">
      <c r="Y3678" s="6" t="s">
        <v>954</v>
      </c>
    </row>
    <row r="3679">
      <c r="Y3679" s="6" t="s">
        <v>954</v>
      </c>
    </row>
    <row r="3680">
      <c r="Y3680" s="6" t="s">
        <v>954</v>
      </c>
    </row>
    <row r="3681">
      <c r="Y3681" s="6" t="s">
        <v>954</v>
      </c>
    </row>
    <row r="3682">
      <c r="Y3682" s="6" t="s">
        <v>954</v>
      </c>
    </row>
    <row r="3683">
      <c r="Y3683" s="6" t="s">
        <v>954</v>
      </c>
    </row>
    <row r="3684">
      <c r="Y3684" s="6" t="s">
        <v>954</v>
      </c>
    </row>
    <row r="3685">
      <c r="Y3685" s="6" t="s">
        <v>954</v>
      </c>
    </row>
    <row r="3686">
      <c r="Y3686" s="6" t="s">
        <v>954</v>
      </c>
    </row>
    <row r="3687">
      <c r="Y3687" s="6" t="s">
        <v>954</v>
      </c>
    </row>
    <row r="3688">
      <c r="Y3688" s="6" t="s">
        <v>954</v>
      </c>
    </row>
    <row r="3689">
      <c r="Y3689" s="6" t="s">
        <v>954</v>
      </c>
    </row>
    <row r="3690">
      <c r="Y3690" s="6" t="s">
        <v>954</v>
      </c>
    </row>
    <row r="3691">
      <c r="Y3691" s="6" t="s">
        <v>954</v>
      </c>
    </row>
    <row r="3692">
      <c r="Y3692" s="6" t="s">
        <v>954</v>
      </c>
    </row>
    <row r="3693">
      <c r="Y3693" s="6" t="s">
        <v>954</v>
      </c>
    </row>
    <row r="3694">
      <c r="Y3694" s="6" t="s">
        <v>954</v>
      </c>
    </row>
    <row r="3695">
      <c r="Y3695" s="6" t="s">
        <v>954</v>
      </c>
    </row>
    <row r="3696">
      <c r="Y3696" s="6" t="s">
        <v>954</v>
      </c>
    </row>
    <row r="3697">
      <c r="Y3697" s="6" t="s">
        <v>954</v>
      </c>
    </row>
    <row r="3698">
      <c r="Y3698" s="6" t="s">
        <v>954</v>
      </c>
    </row>
    <row r="3699">
      <c r="Y3699" s="6" t="s">
        <v>954</v>
      </c>
    </row>
    <row r="3700">
      <c r="Y3700" s="6" t="s">
        <v>954</v>
      </c>
    </row>
    <row r="3701">
      <c r="Y3701" s="6" t="s">
        <v>954</v>
      </c>
    </row>
    <row r="3702">
      <c r="Y3702" s="6" t="s">
        <v>954</v>
      </c>
    </row>
    <row r="3703">
      <c r="Y3703" s="6" t="s">
        <v>954</v>
      </c>
    </row>
    <row r="3704">
      <c r="Y3704" s="6" t="s">
        <v>954</v>
      </c>
    </row>
    <row r="3705">
      <c r="Y3705" s="6" t="s">
        <v>954</v>
      </c>
    </row>
    <row r="3706">
      <c r="Y3706" s="6" t="s">
        <v>954</v>
      </c>
    </row>
    <row r="3707">
      <c r="Y3707" s="6" t="s">
        <v>954</v>
      </c>
    </row>
    <row r="3708">
      <c r="Y3708" s="6" t="s">
        <v>954</v>
      </c>
    </row>
    <row r="3709">
      <c r="Y3709" s="6" t="s">
        <v>954</v>
      </c>
    </row>
    <row r="3710">
      <c r="Y3710" s="6" t="s">
        <v>954</v>
      </c>
    </row>
    <row r="3711">
      <c r="Y3711" s="6" t="s">
        <v>954</v>
      </c>
    </row>
    <row r="3712">
      <c r="Y3712" s="6" t="s">
        <v>954</v>
      </c>
    </row>
    <row r="3713">
      <c r="Y3713" s="6" t="s">
        <v>954</v>
      </c>
    </row>
    <row r="3714">
      <c r="Y3714" s="6" t="s">
        <v>954</v>
      </c>
    </row>
    <row r="3715">
      <c r="Y3715" s="6" t="s">
        <v>954</v>
      </c>
    </row>
    <row r="3716">
      <c r="Y3716" s="6" t="s">
        <v>954</v>
      </c>
    </row>
    <row r="3717">
      <c r="Y3717" s="6" t="s">
        <v>954</v>
      </c>
    </row>
    <row r="3718">
      <c r="Y3718" s="6" t="s">
        <v>954</v>
      </c>
    </row>
    <row r="3719">
      <c r="Y3719" s="6" t="s">
        <v>954</v>
      </c>
    </row>
    <row r="3720">
      <c r="Y3720" s="6" t="s">
        <v>954</v>
      </c>
    </row>
    <row r="3721">
      <c r="Y3721" s="6" t="s">
        <v>954</v>
      </c>
    </row>
    <row r="3722">
      <c r="Y3722" s="6" t="s">
        <v>954</v>
      </c>
    </row>
    <row r="3723">
      <c r="Y3723" s="6" t="s">
        <v>954</v>
      </c>
    </row>
    <row r="3724">
      <c r="Y3724" s="6" t="s">
        <v>954</v>
      </c>
    </row>
    <row r="3725">
      <c r="Y3725" s="6" t="s">
        <v>954</v>
      </c>
    </row>
    <row r="3726">
      <c r="Y3726" s="6" t="s">
        <v>954</v>
      </c>
    </row>
    <row r="3727">
      <c r="Y3727" s="6" t="s">
        <v>954</v>
      </c>
    </row>
    <row r="3728">
      <c r="Y3728" s="6" t="s">
        <v>954</v>
      </c>
    </row>
    <row r="3729">
      <c r="Y3729" s="6" t="s">
        <v>954</v>
      </c>
    </row>
    <row r="3730">
      <c r="Y3730" s="6" t="s">
        <v>954</v>
      </c>
    </row>
    <row r="3731">
      <c r="Y3731" s="6" t="s">
        <v>954</v>
      </c>
    </row>
    <row r="3732">
      <c r="Y3732" s="6" t="s">
        <v>954</v>
      </c>
    </row>
    <row r="3733">
      <c r="Y3733" s="6" t="s">
        <v>954</v>
      </c>
    </row>
    <row r="3734">
      <c r="Y3734" s="6" t="s">
        <v>954</v>
      </c>
    </row>
    <row r="3735">
      <c r="Y3735" s="6" t="s">
        <v>954</v>
      </c>
    </row>
    <row r="3736">
      <c r="Y3736" s="6" t="s">
        <v>954</v>
      </c>
    </row>
    <row r="3737">
      <c r="Y3737" s="6" t="s">
        <v>954</v>
      </c>
    </row>
    <row r="3738">
      <c r="Y3738" s="6" t="s">
        <v>954</v>
      </c>
    </row>
    <row r="3739">
      <c r="Y3739" s="6" t="s">
        <v>954</v>
      </c>
    </row>
    <row r="3740">
      <c r="Y3740" s="6" t="s">
        <v>954</v>
      </c>
    </row>
    <row r="3741">
      <c r="Y3741" s="6" t="s">
        <v>954</v>
      </c>
    </row>
    <row r="3742">
      <c r="Y3742" s="6" t="s">
        <v>954</v>
      </c>
    </row>
    <row r="3743">
      <c r="Y3743" s="6" t="s">
        <v>954</v>
      </c>
    </row>
    <row r="3744">
      <c r="Y3744" s="6" t="s">
        <v>954</v>
      </c>
    </row>
    <row r="3745">
      <c r="Y3745" s="6" t="s">
        <v>954</v>
      </c>
    </row>
    <row r="3746">
      <c r="Y3746" s="6" t="s">
        <v>954</v>
      </c>
    </row>
    <row r="3747">
      <c r="Y3747" s="6" t="s">
        <v>954</v>
      </c>
    </row>
    <row r="3748">
      <c r="Y3748" s="6" t="s">
        <v>954</v>
      </c>
    </row>
    <row r="3749">
      <c r="Y3749" s="6" t="s">
        <v>954</v>
      </c>
    </row>
    <row r="3750">
      <c r="Y3750" s="6" t="s">
        <v>954</v>
      </c>
    </row>
    <row r="3751">
      <c r="Y3751" s="6" t="s">
        <v>954</v>
      </c>
    </row>
    <row r="3752">
      <c r="Y3752" s="6" t="s">
        <v>954</v>
      </c>
    </row>
    <row r="3753">
      <c r="Y3753" s="6" t="s">
        <v>954</v>
      </c>
    </row>
    <row r="3754">
      <c r="Y3754" s="6" t="s">
        <v>954</v>
      </c>
    </row>
    <row r="3755">
      <c r="Y3755" s="6" t="s">
        <v>954</v>
      </c>
    </row>
    <row r="3756">
      <c r="Y3756" s="6" t="s">
        <v>954</v>
      </c>
    </row>
    <row r="3757">
      <c r="Y3757" s="6" t="s">
        <v>954</v>
      </c>
    </row>
    <row r="3758">
      <c r="Y3758" s="6" t="s">
        <v>954</v>
      </c>
    </row>
    <row r="3759">
      <c r="Y3759" s="6" t="s">
        <v>954</v>
      </c>
    </row>
    <row r="3760">
      <c r="Y3760" s="6" t="s">
        <v>954</v>
      </c>
    </row>
    <row r="3761">
      <c r="Y3761" s="6" t="s">
        <v>954</v>
      </c>
    </row>
    <row r="3762">
      <c r="Y3762" s="6" t="s">
        <v>954</v>
      </c>
    </row>
    <row r="3763">
      <c r="Y3763" s="6" t="s">
        <v>954</v>
      </c>
    </row>
    <row r="3764">
      <c r="Y3764" s="6" t="s">
        <v>954</v>
      </c>
    </row>
    <row r="3765">
      <c r="Y3765" s="6" t="s">
        <v>954</v>
      </c>
    </row>
    <row r="3766">
      <c r="Y3766" s="6" t="s">
        <v>954</v>
      </c>
    </row>
    <row r="3767">
      <c r="Y3767" s="6" t="s">
        <v>954</v>
      </c>
    </row>
    <row r="3768">
      <c r="Y3768" s="6" t="s">
        <v>954</v>
      </c>
    </row>
    <row r="3769">
      <c r="Y3769" s="6" t="s">
        <v>954</v>
      </c>
    </row>
    <row r="3770">
      <c r="Y3770" s="6" t="s">
        <v>954</v>
      </c>
    </row>
    <row r="3771">
      <c r="Y3771" s="6" t="s">
        <v>954</v>
      </c>
    </row>
    <row r="3772">
      <c r="Y3772" s="6" t="s">
        <v>954</v>
      </c>
    </row>
    <row r="3773">
      <c r="Y3773" s="6" t="s">
        <v>954</v>
      </c>
    </row>
    <row r="3774">
      <c r="Y3774" s="6" t="s">
        <v>954</v>
      </c>
    </row>
    <row r="3775">
      <c r="Y3775" s="6" t="s">
        <v>954</v>
      </c>
    </row>
    <row r="3776">
      <c r="Y3776" s="6" t="s">
        <v>954</v>
      </c>
    </row>
    <row r="3777">
      <c r="Y3777" s="6" t="s">
        <v>954</v>
      </c>
    </row>
    <row r="3778">
      <c r="Y3778" s="6" t="s">
        <v>954</v>
      </c>
    </row>
    <row r="3779">
      <c r="Y3779" s="6" t="s">
        <v>954</v>
      </c>
    </row>
    <row r="3780">
      <c r="Y3780" s="6" t="s">
        <v>954</v>
      </c>
    </row>
    <row r="3781">
      <c r="Y3781" s="6" t="s">
        <v>954</v>
      </c>
    </row>
    <row r="3782">
      <c r="Y3782" s="6" t="s">
        <v>954</v>
      </c>
    </row>
    <row r="3783">
      <c r="Y3783" s="6" t="s">
        <v>954</v>
      </c>
    </row>
    <row r="3784">
      <c r="Y3784" s="6" t="s">
        <v>954</v>
      </c>
    </row>
    <row r="3785">
      <c r="Y3785" s="6" t="s">
        <v>954</v>
      </c>
    </row>
    <row r="3786">
      <c r="Y3786" s="6" t="s">
        <v>954</v>
      </c>
    </row>
    <row r="3787">
      <c r="Y3787" s="6" t="s">
        <v>954</v>
      </c>
    </row>
    <row r="3788">
      <c r="Y3788" s="6" t="s">
        <v>954</v>
      </c>
    </row>
    <row r="3789">
      <c r="Y3789" s="6" t="s">
        <v>954</v>
      </c>
    </row>
    <row r="3790">
      <c r="Y3790" s="6" t="s">
        <v>954</v>
      </c>
    </row>
    <row r="3791">
      <c r="Y3791" s="6" t="s">
        <v>954</v>
      </c>
    </row>
    <row r="3792">
      <c r="Y3792" s="6" t="s">
        <v>954</v>
      </c>
    </row>
    <row r="3793">
      <c r="Y3793" s="6" t="s">
        <v>954</v>
      </c>
    </row>
    <row r="3794">
      <c r="Y3794" s="6" t="s">
        <v>954</v>
      </c>
    </row>
    <row r="3795">
      <c r="Y3795" s="6" t="s">
        <v>954</v>
      </c>
    </row>
    <row r="3796">
      <c r="Y3796" s="6" t="s">
        <v>954</v>
      </c>
    </row>
    <row r="3797">
      <c r="Y3797" s="6" t="s">
        <v>954</v>
      </c>
    </row>
    <row r="3798">
      <c r="Y3798" s="6" t="s">
        <v>954</v>
      </c>
    </row>
    <row r="3799">
      <c r="Y3799" s="6" t="s">
        <v>954</v>
      </c>
    </row>
    <row r="3800">
      <c r="Y3800" s="6" t="s">
        <v>954</v>
      </c>
    </row>
    <row r="3801">
      <c r="Y3801" s="6" t="s">
        <v>954</v>
      </c>
    </row>
    <row r="3802">
      <c r="Y3802" s="6" t="s">
        <v>954</v>
      </c>
    </row>
    <row r="3803">
      <c r="Y3803" s="6" t="s">
        <v>954</v>
      </c>
    </row>
    <row r="3804">
      <c r="Y3804" s="6" t="s">
        <v>954</v>
      </c>
    </row>
    <row r="3805">
      <c r="Y3805" s="6" t="s">
        <v>954</v>
      </c>
    </row>
    <row r="3806">
      <c r="Y3806" s="6" t="s">
        <v>954</v>
      </c>
    </row>
    <row r="3807">
      <c r="Y3807" s="6" t="s">
        <v>954</v>
      </c>
    </row>
    <row r="3808">
      <c r="Y3808" s="6" t="s">
        <v>954</v>
      </c>
    </row>
    <row r="3809">
      <c r="Y3809" s="6" t="s">
        <v>954</v>
      </c>
    </row>
    <row r="3810">
      <c r="Y3810" s="6" t="s">
        <v>954</v>
      </c>
    </row>
    <row r="3811">
      <c r="Y3811" s="6" t="s">
        <v>954</v>
      </c>
    </row>
    <row r="3812">
      <c r="Y3812" s="6" t="s">
        <v>954</v>
      </c>
    </row>
    <row r="3813">
      <c r="Y3813" s="6" t="s">
        <v>954</v>
      </c>
    </row>
    <row r="3814">
      <c r="Y3814" s="6" t="s">
        <v>954</v>
      </c>
    </row>
    <row r="3815">
      <c r="Y3815" s="6" t="s">
        <v>954</v>
      </c>
    </row>
    <row r="3816">
      <c r="Y3816" s="6" t="s">
        <v>954</v>
      </c>
    </row>
    <row r="3817">
      <c r="Y3817" s="6" t="s">
        <v>954</v>
      </c>
    </row>
    <row r="3818">
      <c r="Y3818" s="6" t="s">
        <v>954</v>
      </c>
    </row>
    <row r="3819">
      <c r="Y3819" s="6" t="s">
        <v>954</v>
      </c>
    </row>
    <row r="3820">
      <c r="Y3820" s="6" t="s">
        <v>954</v>
      </c>
    </row>
    <row r="3821">
      <c r="Y3821" s="6" t="s">
        <v>954</v>
      </c>
    </row>
    <row r="3822">
      <c r="Y3822" s="6" t="s">
        <v>954</v>
      </c>
    </row>
    <row r="3823">
      <c r="Y3823" s="6" t="s">
        <v>954</v>
      </c>
    </row>
    <row r="3824">
      <c r="Y3824" s="6" t="s">
        <v>954</v>
      </c>
    </row>
    <row r="3825">
      <c r="Y3825" s="6" t="s">
        <v>954</v>
      </c>
    </row>
    <row r="3826">
      <c r="Y3826" s="6" t="s">
        <v>954</v>
      </c>
    </row>
    <row r="3827">
      <c r="Y3827" s="6" t="s">
        <v>954</v>
      </c>
    </row>
    <row r="3828">
      <c r="Y3828" s="6" t="s">
        <v>954</v>
      </c>
    </row>
    <row r="3829">
      <c r="Y3829" s="6" t="s">
        <v>954</v>
      </c>
    </row>
    <row r="3830">
      <c r="Y3830" s="6" t="s">
        <v>954</v>
      </c>
    </row>
    <row r="3831">
      <c r="Y3831" s="6" t="s">
        <v>954</v>
      </c>
    </row>
    <row r="3832">
      <c r="Y3832" s="6" t="s">
        <v>954</v>
      </c>
    </row>
    <row r="3833">
      <c r="Y3833" s="6" t="s">
        <v>954</v>
      </c>
    </row>
    <row r="3834">
      <c r="Y3834" s="6" t="s">
        <v>954</v>
      </c>
    </row>
    <row r="3835">
      <c r="Y3835" s="6" t="s">
        <v>954</v>
      </c>
    </row>
    <row r="3836">
      <c r="Y3836" s="6" t="s">
        <v>954</v>
      </c>
    </row>
    <row r="3837">
      <c r="Y3837" s="6" t="s">
        <v>954</v>
      </c>
    </row>
    <row r="3838">
      <c r="Y3838" s="6" t="s">
        <v>954</v>
      </c>
    </row>
    <row r="3839">
      <c r="Y3839" s="6" t="s">
        <v>954</v>
      </c>
    </row>
    <row r="3840">
      <c r="Y3840" s="6" t="s">
        <v>954</v>
      </c>
    </row>
    <row r="3841">
      <c r="Y3841" s="6" t="s">
        <v>954</v>
      </c>
    </row>
    <row r="3842">
      <c r="Y3842" s="6" t="s">
        <v>954</v>
      </c>
    </row>
    <row r="3843">
      <c r="Y3843" s="6" t="s">
        <v>954</v>
      </c>
    </row>
    <row r="3844">
      <c r="Y3844" s="6" t="s">
        <v>954</v>
      </c>
    </row>
    <row r="3845">
      <c r="Y3845" s="6" t="s">
        <v>954</v>
      </c>
    </row>
    <row r="3846">
      <c r="Y3846" s="6" t="s">
        <v>954</v>
      </c>
    </row>
    <row r="3847">
      <c r="Y3847" s="6" t="s">
        <v>954</v>
      </c>
    </row>
    <row r="3848">
      <c r="Y3848" s="6" t="s">
        <v>954</v>
      </c>
    </row>
    <row r="3849">
      <c r="Y3849" s="6" t="s">
        <v>954</v>
      </c>
    </row>
    <row r="3850">
      <c r="Y3850" s="6" t="s">
        <v>954</v>
      </c>
    </row>
    <row r="3851">
      <c r="Y3851" s="6" t="s">
        <v>954</v>
      </c>
    </row>
    <row r="3852">
      <c r="Y3852" s="6" t="s">
        <v>954</v>
      </c>
    </row>
    <row r="3853">
      <c r="Y3853" s="6" t="s">
        <v>954</v>
      </c>
    </row>
    <row r="3854">
      <c r="Y3854" s="6" t="s">
        <v>954</v>
      </c>
    </row>
    <row r="3855">
      <c r="Y3855" s="6" t="s">
        <v>954</v>
      </c>
    </row>
    <row r="3856">
      <c r="Y3856" s="6" t="s">
        <v>954</v>
      </c>
    </row>
    <row r="3857">
      <c r="Y3857" s="6" t="s">
        <v>954</v>
      </c>
    </row>
    <row r="3858">
      <c r="Y3858" s="6" t="s">
        <v>954</v>
      </c>
    </row>
    <row r="3859">
      <c r="Y3859" s="6" t="s">
        <v>954</v>
      </c>
    </row>
    <row r="3860">
      <c r="Y3860" s="6" t="s">
        <v>954</v>
      </c>
    </row>
    <row r="3861">
      <c r="Y3861" s="6" t="s">
        <v>954</v>
      </c>
    </row>
    <row r="3862">
      <c r="Y3862" s="6" t="s">
        <v>954</v>
      </c>
    </row>
    <row r="3863">
      <c r="Y3863" s="6" t="s">
        <v>954</v>
      </c>
    </row>
    <row r="3864">
      <c r="Y3864" s="6" t="s">
        <v>954</v>
      </c>
    </row>
    <row r="3865">
      <c r="Y3865" s="6" t="s">
        <v>954</v>
      </c>
    </row>
    <row r="3866">
      <c r="Y3866" s="6" t="s">
        <v>954</v>
      </c>
    </row>
    <row r="3867">
      <c r="Y3867" s="6" t="s">
        <v>954</v>
      </c>
    </row>
    <row r="3868">
      <c r="Y3868" s="6" t="s">
        <v>954</v>
      </c>
    </row>
    <row r="3869">
      <c r="Y3869" s="6" t="s">
        <v>954</v>
      </c>
    </row>
    <row r="3870">
      <c r="Y3870" s="6" t="s">
        <v>954</v>
      </c>
    </row>
    <row r="3871">
      <c r="Y3871" s="6" t="s">
        <v>954</v>
      </c>
    </row>
    <row r="3872">
      <c r="Y3872" s="6" t="s">
        <v>954</v>
      </c>
    </row>
    <row r="3873">
      <c r="Y3873" s="6" t="s">
        <v>954</v>
      </c>
    </row>
    <row r="3874">
      <c r="Y3874" s="6" t="s">
        <v>954</v>
      </c>
    </row>
    <row r="3875">
      <c r="Y3875" s="6" t="s">
        <v>954</v>
      </c>
    </row>
    <row r="3876">
      <c r="Y3876" s="6" t="s">
        <v>954</v>
      </c>
    </row>
    <row r="3877">
      <c r="Y3877" s="6" t="s">
        <v>954</v>
      </c>
    </row>
    <row r="3878">
      <c r="Y3878" s="6" t="s">
        <v>954</v>
      </c>
    </row>
    <row r="3879">
      <c r="Y3879" s="6" t="s">
        <v>954</v>
      </c>
    </row>
    <row r="3880">
      <c r="Y3880" s="6" t="s">
        <v>954</v>
      </c>
    </row>
    <row r="3881">
      <c r="Y3881" s="6" t="s">
        <v>954</v>
      </c>
    </row>
    <row r="3882">
      <c r="Y3882" s="6" t="s">
        <v>954</v>
      </c>
    </row>
    <row r="3883">
      <c r="Y3883" s="6" t="s">
        <v>954</v>
      </c>
    </row>
    <row r="3884">
      <c r="Y3884" s="6" t="s">
        <v>954</v>
      </c>
    </row>
    <row r="3885">
      <c r="Y3885" s="6" t="s">
        <v>954</v>
      </c>
    </row>
    <row r="3886">
      <c r="Y3886" s="6" t="s">
        <v>954</v>
      </c>
    </row>
    <row r="3887">
      <c r="Y3887" s="6" t="s">
        <v>954</v>
      </c>
    </row>
    <row r="3888">
      <c r="Y3888" s="6" t="s">
        <v>954</v>
      </c>
    </row>
    <row r="3889">
      <c r="Y3889" s="6" t="s">
        <v>954</v>
      </c>
    </row>
    <row r="3890">
      <c r="Y3890" s="6" t="s">
        <v>954</v>
      </c>
    </row>
    <row r="3891">
      <c r="Y3891" s="6" t="s">
        <v>954</v>
      </c>
    </row>
    <row r="3892">
      <c r="Y3892" s="6" t="s">
        <v>954</v>
      </c>
    </row>
    <row r="3893">
      <c r="Y3893" s="6" t="s">
        <v>954</v>
      </c>
    </row>
    <row r="3894">
      <c r="Y3894" s="6" t="s">
        <v>954</v>
      </c>
    </row>
    <row r="3895">
      <c r="Y3895" s="6" t="s">
        <v>954</v>
      </c>
    </row>
    <row r="3896">
      <c r="Y3896" s="6" t="s">
        <v>954</v>
      </c>
    </row>
    <row r="3897">
      <c r="Y3897" s="6" t="s">
        <v>954</v>
      </c>
    </row>
    <row r="3898">
      <c r="Y3898" s="6" t="s">
        <v>954</v>
      </c>
    </row>
    <row r="3899">
      <c r="Y3899" s="6" t="s">
        <v>954</v>
      </c>
    </row>
    <row r="3900">
      <c r="Y3900" s="6" t="s">
        <v>954</v>
      </c>
    </row>
    <row r="3901">
      <c r="Y3901" s="6" t="s">
        <v>954</v>
      </c>
    </row>
    <row r="3902">
      <c r="Y3902" s="6" t="s">
        <v>954</v>
      </c>
    </row>
    <row r="3903">
      <c r="Y3903" s="6" t="s">
        <v>954</v>
      </c>
    </row>
    <row r="3904">
      <c r="Y3904" s="6" t="s">
        <v>954</v>
      </c>
    </row>
    <row r="3905">
      <c r="Y3905" s="6" t="s">
        <v>954</v>
      </c>
    </row>
    <row r="3906">
      <c r="Y3906" s="6" t="s">
        <v>954</v>
      </c>
    </row>
    <row r="3907">
      <c r="Y3907" s="6" t="s">
        <v>954</v>
      </c>
    </row>
    <row r="3908">
      <c r="Y3908" s="6" t="s">
        <v>954</v>
      </c>
    </row>
    <row r="3909">
      <c r="Y3909" s="6" t="s">
        <v>954</v>
      </c>
    </row>
    <row r="3910">
      <c r="Y3910" s="6" t="s">
        <v>954</v>
      </c>
    </row>
    <row r="3911">
      <c r="Y3911" s="6" t="s">
        <v>954</v>
      </c>
    </row>
    <row r="3912">
      <c r="Y3912" s="6" t="s">
        <v>954</v>
      </c>
    </row>
    <row r="3913">
      <c r="Y3913" s="6" t="s">
        <v>954</v>
      </c>
    </row>
    <row r="3914">
      <c r="Y3914" s="6" t="s">
        <v>954</v>
      </c>
    </row>
    <row r="3915">
      <c r="Y3915" s="6" t="s">
        <v>954</v>
      </c>
    </row>
    <row r="3916">
      <c r="Y3916" s="6" t="s">
        <v>954</v>
      </c>
    </row>
    <row r="3917">
      <c r="Y3917" s="6" t="s">
        <v>954</v>
      </c>
    </row>
    <row r="3918">
      <c r="Y3918" s="6" t="s">
        <v>954</v>
      </c>
    </row>
    <row r="3919">
      <c r="Y3919" s="6" t="s">
        <v>954</v>
      </c>
    </row>
    <row r="3920">
      <c r="Y3920" s="6" t="s">
        <v>954</v>
      </c>
    </row>
    <row r="3921">
      <c r="Y3921" s="6" t="s">
        <v>954</v>
      </c>
    </row>
    <row r="3922">
      <c r="Y3922" s="6" t="s">
        <v>954</v>
      </c>
    </row>
    <row r="3923">
      <c r="Y3923" s="6" t="s">
        <v>954</v>
      </c>
    </row>
    <row r="3924">
      <c r="Y3924" s="6" t="s">
        <v>954</v>
      </c>
    </row>
    <row r="3925">
      <c r="Y3925" s="6" t="s">
        <v>954</v>
      </c>
    </row>
    <row r="3926">
      <c r="Y3926" s="6" t="s">
        <v>954</v>
      </c>
    </row>
    <row r="3927">
      <c r="Y3927" s="6" t="s">
        <v>954</v>
      </c>
    </row>
    <row r="3928">
      <c r="Y3928" s="6" t="s">
        <v>954</v>
      </c>
    </row>
    <row r="3929">
      <c r="Y3929" s="6" t="s">
        <v>954</v>
      </c>
    </row>
    <row r="3930">
      <c r="Y3930" s="6" t="s">
        <v>954</v>
      </c>
    </row>
    <row r="3931">
      <c r="Y3931" s="6" t="s">
        <v>954</v>
      </c>
    </row>
    <row r="3932">
      <c r="Y3932" s="6" t="s">
        <v>954</v>
      </c>
    </row>
    <row r="3933">
      <c r="Y3933" s="6" t="s">
        <v>954</v>
      </c>
    </row>
    <row r="3934">
      <c r="Y3934" s="6" t="s">
        <v>954</v>
      </c>
    </row>
    <row r="3935">
      <c r="Y3935" s="6" t="s">
        <v>954</v>
      </c>
    </row>
    <row r="3936">
      <c r="Y3936" s="6" t="s">
        <v>954</v>
      </c>
    </row>
    <row r="3937">
      <c r="Y3937" s="6" t="s">
        <v>954</v>
      </c>
    </row>
    <row r="3938">
      <c r="Y3938" s="6" t="s">
        <v>954</v>
      </c>
    </row>
    <row r="3939">
      <c r="Y3939" s="6" t="s">
        <v>954</v>
      </c>
    </row>
    <row r="3940">
      <c r="Y3940" s="6" t="s">
        <v>954</v>
      </c>
    </row>
    <row r="3941">
      <c r="Y3941" s="6" t="s">
        <v>954</v>
      </c>
    </row>
    <row r="3942">
      <c r="Y3942" s="6" t="s">
        <v>954</v>
      </c>
    </row>
    <row r="3943">
      <c r="Y3943" s="6" t="s">
        <v>954</v>
      </c>
    </row>
    <row r="3944">
      <c r="Y3944" s="6" t="s">
        <v>954</v>
      </c>
    </row>
    <row r="3945">
      <c r="Y3945" s="6" t="s">
        <v>954</v>
      </c>
    </row>
    <row r="3946">
      <c r="Y3946" s="6" t="s">
        <v>954</v>
      </c>
    </row>
    <row r="3947">
      <c r="Y3947" s="6" t="s">
        <v>954</v>
      </c>
    </row>
    <row r="3948">
      <c r="Y3948" s="6" t="s">
        <v>954</v>
      </c>
    </row>
    <row r="3949">
      <c r="Y3949" s="6" t="s">
        <v>954</v>
      </c>
    </row>
    <row r="3950">
      <c r="Y3950" s="6" t="s">
        <v>954</v>
      </c>
    </row>
    <row r="3951">
      <c r="Y3951" s="6" t="s">
        <v>954</v>
      </c>
    </row>
    <row r="3952">
      <c r="Y3952" s="6" t="s">
        <v>954</v>
      </c>
    </row>
    <row r="3953">
      <c r="Y3953" s="6" t="s">
        <v>954</v>
      </c>
    </row>
    <row r="3954">
      <c r="Y3954" s="6" t="s">
        <v>954</v>
      </c>
    </row>
    <row r="3955">
      <c r="Y3955" s="6" t="s">
        <v>954</v>
      </c>
    </row>
    <row r="3956">
      <c r="Y3956" s="6" t="s">
        <v>954</v>
      </c>
    </row>
    <row r="3957">
      <c r="Y3957" s="6" t="s">
        <v>954</v>
      </c>
    </row>
    <row r="3958">
      <c r="Y3958" s="6" t="s">
        <v>954</v>
      </c>
    </row>
    <row r="3959">
      <c r="Y3959" s="6" t="s">
        <v>954</v>
      </c>
    </row>
    <row r="3960">
      <c r="Y3960" s="6" t="s">
        <v>954</v>
      </c>
    </row>
    <row r="3961">
      <c r="Y3961" s="6" t="s">
        <v>954</v>
      </c>
    </row>
    <row r="3962">
      <c r="Y3962" s="6" t="s">
        <v>954</v>
      </c>
    </row>
    <row r="3963">
      <c r="Y3963" s="6" t="s">
        <v>954</v>
      </c>
    </row>
    <row r="3964">
      <c r="Y3964" s="6" t="s">
        <v>954</v>
      </c>
    </row>
    <row r="3965">
      <c r="Y3965" s="6" t="s">
        <v>954</v>
      </c>
    </row>
    <row r="3966">
      <c r="Y3966" s="6" t="s">
        <v>954</v>
      </c>
    </row>
    <row r="3967">
      <c r="Y3967" s="6" t="s">
        <v>954</v>
      </c>
    </row>
    <row r="3968">
      <c r="Y3968" s="6" t="s">
        <v>954</v>
      </c>
    </row>
    <row r="3969">
      <c r="Y3969" s="6" t="s">
        <v>954</v>
      </c>
    </row>
    <row r="3970">
      <c r="Y3970" s="6" t="s">
        <v>954</v>
      </c>
    </row>
    <row r="3971">
      <c r="Y3971" s="6" t="s">
        <v>954</v>
      </c>
    </row>
    <row r="3972">
      <c r="Y3972" s="6" t="s">
        <v>954</v>
      </c>
    </row>
    <row r="3973">
      <c r="Y3973" s="6" t="s">
        <v>954</v>
      </c>
    </row>
    <row r="3974">
      <c r="Y3974" s="6" t="s">
        <v>954</v>
      </c>
    </row>
    <row r="3975">
      <c r="Y3975" s="6" t="s">
        <v>954</v>
      </c>
    </row>
    <row r="3976">
      <c r="Y3976" s="6" t="s">
        <v>954</v>
      </c>
    </row>
    <row r="3977">
      <c r="Y3977" s="6" t="s">
        <v>954</v>
      </c>
    </row>
    <row r="3978">
      <c r="Y3978" s="6" t="s">
        <v>954</v>
      </c>
    </row>
    <row r="3979">
      <c r="Y3979" s="6" t="s">
        <v>954</v>
      </c>
    </row>
    <row r="3980">
      <c r="Y3980" s="6" t="s">
        <v>954</v>
      </c>
    </row>
    <row r="3981">
      <c r="Y3981" s="6" t="s">
        <v>954</v>
      </c>
    </row>
    <row r="3982">
      <c r="Y3982" s="6" t="s">
        <v>954</v>
      </c>
    </row>
    <row r="3983">
      <c r="Y3983" s="6" t="s">
        <v>954</v>
      </c>
    </row>
    <row r="3984">
      <c r="Y3984" s="6" t="s">
        <v>954</v>
      </c>
    </row>
    <row r="3985">
      <c r="Y3985" s="6" t="s">
        <v>954</v>
      </c>
    </row>
    <row r="3986">
      <c r="Y3986" s="6" t="s">
        <v>954</v>
      </c>
    </row>
    <row r="3987">
      <c r="Y3987" s="6" t="s">
        <v>954</v>
      </c>
    </row>
    <row r="3988">
      <c r="Y3988" s="6" t="s">
        <v>954</v>
      </c>
    </row>
    <row r="3989">
      <c r="Y3989" s="6" t="s">
        <v>954</v>
      </c>
    </row>
    <row r="3990">
      <c r="Y3990" s="6" t="s">
        <v>954</v>
      </c>
    </row>
    <row r="3991">
      <c r="Y3991" s="6" t="s">
        <v>954</v>
      </c>
    </row>
    <row r="3992">
      <c r="Y3992" s="6" t="s">
        <v>954</v>
      </c>
    </row>
    <row r="3993">
      <c r="Y3993" s="6" t="s">
        <v>954</v>
      </c>
    </row>
    <row r="3994">
      <c r="Y3994" s="6" t="s">
        <v>954</v>
      </c>
    </row>
    <row r="3995">
      <c r="Y3995" s="6" t="s">
        <v>954</v>
      </c>
    </row>
    <row r="3996">
      <c r="Y3996" s="6" t="s">
        <v>954</v>
      </c>
    </row>
    <row r="3997">
      <c r="Y3997" s="6" t="s">
        <v>954</v>
      </c>
    </row>
    <row r="3998">
      <c r="Y3998" s="6" t="s">
        <v>954</v>
      </c>
    </row>
    <row r="3999">
      <c r="Y3999" s="6" t="s">
        <v>954</v>
      </c>
    </row>
    <row r="4000">
      <c r="Y4000" s="6" t="s">
        <v>954</v>
      </c>
    </row>
    <row r="4001">
      <c r="Y4001" s="6" t="s">
        <v>954</v>
      </c>
    </row>
    <row r="4002">
      <c r="Y4002" s="6" t="s">
        <v>954</v>
      </c>
    </row>
    <row r="4003">
      <c r="Y4003" s="6" t="s">
        <v>954</v>
      </c>
    </row>
    <row r="4004">
      <c r="Y4004" s="6" t="s">
        <v>954</v>
      </c>
    </row>
    <row r="4005">
      <c r="Y4005" s="6" t="s">
        <v>954</v>
      </c>
    </row>
    <row r="4006">
      <c r="Y4006" s="6" t="s">
        <v>954</v>
      </c>
    </row>
    <row r="4007">
      <c r="Y4007" s="6" t="s">
        <v>954</v>
      </c>
    </row>
    <row r="4008">
      <c r="Y4008" s="6" t="s">
        <v>954</v>
      </c>
    </row>
    <row r="4009">
      <c r="Y4009" s="6" t="s">
        <v>954</v>
      </c>
    </row>
    <row r="4010">
      <c r="Y4010" s="6" t="s">
        <v>954</v>
      </c>
    </row>
    <row r="4011">
      <c r="Y4011" s="6" t="s">
        <v>954</v>
      </c>
    </row>
    <row r="4012">
      <c r="Y4012" s="6" t="s">
        <v>954</v>
      </c>
    </row>
    <row r="4013">
      <c r="Y4013" s="6" t="s">
        <v>954</v>
      </c>
    </row>
    <row r="4014">
      <c r="Y4014" s="6" t="s">
        <v>954</v>
      </c>
    </row>
    <row r="4015">
      <c r="Y4015" s="6" t="s">
        <v>954</v>
      </c>
    </row>
    <row r="4016">
      <c r="Y4016" s="6" t="s">
        <v>954</v>
      </c>
    </row>
    <row r="4017">
      <c r="Y4017" s="6" t="s">
        <v>954</v>
      </c>
    </row>
    <row r="4018">
      <c r="Y4018" s="6" t="s">
        <v>954</v>
      </c>
    </row>
    <row r="4019">
      <c r="Y4019" s="6" t="s">
        <v>954</v>
      </c>
    </row>
    <row r="4020">
      <c r="Y4020" s="6" t="s">
        <v>954</v>
      </c>
    </row>
    <row r="4021">
      <c r="Y4021" s="6" t="s">
        <v>954</v>
      </c>
    </row>
    <row r="4022">
      <c r="Y4022" s="6" t="s">
        <v>954</v>
      </c>
    </row>
    <row r="4023">
      <c r="Y4023" s="6" t="s">
        <v>954</v>
      </c>
    </row>
    <row r="4024">
      <c r="Y4024" s="6" t="s">
        <v>954</v>
      </c>
    </row>
    <row r="4025">
      <c r="Y4025" s="6" t="s">
        <v>954</v>
      </c>
    </row>
    <row r="4026">
      <c r="Y4026" s="6" t="s">
        <v>954</v>
      </c>
    </row>
    <row r="4027">
      <c r="Y4027" s="6" t="s">
        <v>954</v>
      </c>
    </row>
    <row r="4028">
      <c r="Y4028" s="6" t="s">
        <v>954</v>
      </c>
    </row>
    <row r="4029">
      <c r="Y4029" s="6" t="s">
        <v>954</v>
      </c>
    </row>
    <row r="4030">
      <c r="Y4030" s="6" t="s">
        <v>954</v>
      </c>
    </row>
    <row r="4031">
      <c r="Y4031" s="6" t="s">
        <v>954</v>
      </c>
    </row>
    <row r="4032">
      <c r="Y4032" s="6" t="s">
        <v>954</v>
      </c>
    </row>
    <row r="4033">
      <c r="Y4033" s="6" t="s">
        <v>954</v>
      </c>
    </row>
    <row r="4034">
      <c r="Y4034" s="6" t="s">
        <v>954</v>
      </c>
    </row>
    <row r="4035">
      <c r="Y4035" s="6" t="s">
        <v>954</v>
      </c>
    </row>
    <row r="4036">
      <c r="Y4036" s="6" t="s">
        <v>954</v>
      </c>
    </row>
    <row r="4037">
      <c r="Y4037" s="6" t="s">
        <v>954</v>
      </c>
    </row>
    <row r="4038">
      <c r="Y4038" s="6" t="s">
        <v>954</v>
      </c>
    </row>
    <row r="4039">
      <c r="Y4039" s="6" t="s">
        <v>954</v>
      </c>
    </row>
    <row r="4040">
      <c r="Y4040" s="6" t="s">
        <v>954</v>
      </c>
    </row>
    <row r="4041">
      <c r="Y4041" s="6" t="s">
        <v>954</v>
      </c>
    </row>
    <row r="4042">
      <c r="Y4042" s="6" t="s">
        <v>954</v>
      </c>
    </row>
    <row r="4043">
      <c r="Y4043" s="6" t="s">
        <v>954</v>
      </c>
    </row>
    <row r="4044">
      <c r="Y4044" s="6" t="s">
        <v>954</v>
      </c>
    </row>
    <row r="4045">
      <c r="Y4045" s="6" t="s">
        <v>954</v>
      </c>
    </row>
    <row r="4046">
      <c r="Y4046" s="6" t="s">
        <v>954</v>
      </c>
    </row>
    <row r="4047">
      <c r="Y4047" s="6" t="s">
        <v>954</v>
      </c>
    </row>
    <row r="4048">
      <c r="Y4048" s="6" t="s">
        <v>954</v>
      </c>
    </row>
    <row r="4049">
      <c r="Y4049" s="6" t="s">
        <v>954</v>
      </c>
    </row>
    <row r="4050">
      <c r="Y4050" s="6" t="s">
        <v>954</v>
      </c>
    </row>
    <row r="4051">
      <c r="Y4051" s="6" t="s">
        <v>954</v>
      </c>
    </row>
    <row r="4052">
      <c r="Y4052" s="6" t="s">
        <v>954</v>
      </c>
    </row>
    <row r="4053">
      <c r="Y4053" s="6" t="s">
        <v>954</v>
      </c>
    </row>
    <row r="4054">
      <c r="Y4054" s="6" t="s">
        <v>954</v>
      </c>
    </row>
    <row r="4055">
      <c r="Y4055" s="6" t="s">
        <v>954</v>
      </c>
    </row>
    <row r="4056">
      <c r="Y4056" s="6" t="s">
        <v>954</v>
      </c>
    </row>
    <row r="4057">
      <c r="Y4057" s="6" t="s">
        <v>954</v>
      </c>
    </row>
    <row r="4058">
      <c r="Y4058" s="6" t="s">
        <v>954</v>
      </c>
    </row>
    <row r="4059">
      <c r="Y4059" s="6" t="s">
        <v>954</v>
      </c>
    </row>
    <row r="4060">
      <c r="Y4060" s="6" t="s">
        <v>954</v>
      </c>
    </row>
    <row r="4061">
      <c r="Y4061" s="6" t="s">
        <v>954</v>
      </c>
    </row>
    <row r="4062">
      <c r="Y4062" s="6" t="s">
        <v>954</v>
      </c>
    </row>
    <row r="4063">
      <c r="Y4063" s="6" t="s">
        <v>954</v>
      </c>
    </row>
    <row r="4064">
      <c r="Y4064" s="6" t="s">
        <v>954</v>
      </c>
    </row>
    <row r="4065">
      <c r="Y4065" s="6" t="s">
        <v>954</v>
      </c>
    </row>
    <row r="4066">
      <c r="Y4066" s="6" t="s">
        <v>954</v>
      </c>
    </row>
    <row r="4067">
      <c r="Y4067" s="6" t="s">
        <v>954</v>
      </c>
    </row>
    <row r="4068">
      <c r="Y4068" s="6" t="s">
        <v>954</v>
      </c>
    </row>
    <row r="4069">
      <c r="Y4069" s="6" t="s">
        <v>954</v>
      </c>
    </row>
    <row r="4070">
      <c r="Y4070" s="6" t="s">
        <v>954</v>
      </c>
    </row>
    <row r="4071">
      <c r="Y4071" s="6" t="s">
        <v>954</v>
      </c>
    </row>
    <row r="4072">
      <c r="Y4072" s="6" t="s">
        <v>954</v>
      </c>
    </row>
    <row r="4073">
      <c r="Y4073" s="6" t="s">
        <v>954</v>
      </c>
    </row>
    <row r="4074">
      <c r="Y4074" s="6" t="s">
        <v>954</v>
      </c>
    </row>
    <row r="4075">
      <c r="Y4075" s="6" t="s">
        <v>954</v>
      </c>
    </row>
    <row r="4076">
      <c r="Y4076" s="6" t="s">
        <v>954</v>
      </c>
    </row>
    <row r="4077">
      <c r="Y4077" s="6" t="s">
        <v>954</v>
      </c>
    </row>
    <row r="4078">
      <c r="Y4078" s="6" t="s">
        <v>954</v>
      </c>
    </row>
    <row r="4079">
      <c r="Y4079" s="6" t="s">
        <v>954</v>
      </c>
    </row>
    <row r="4080">
      <c r="Y4080" s="6" t="s">
        <v>954</v>
      </c>
    </row>
    <row r="4081">
      <c r="Y4081" s="6" t="s">
        <v>954</v>
      </c>
    </row>
    <row r="4082">
      <c r="Y4082" s="6" t="s">
        <v>954</v>
      </c>
    </row>
    <row r="4083">
      <c r="Y4083" s="6" t="s">
        <v>954</v>
      </c>
    </row>
    <row r="4084">
      <c r="Y4084" s="6" t="s">
        <v>954</v>
      </c>
    </row>
    <row r="4085">
      <c r="Y4085" s="6" t="s">
        <v>954</v>
      </c>
    </row>
    <row r="4086">
      <c r="Y4086" s="6" t="s">
        <v>954</v>
      </c>
    </row>
    <row r="4087">
      <c r="Y4087" s="6" t="s">
        <v>954</v>
      </c>
    </row>
    <row r="4088">
      <c r="Y4088" s="6" t="s">
        <v>954</v>
      </c>
    </row>
    <row r="4089">
      <c r="Y4089" s="6" t="s">
        <v>954</v>
      </c>
    </row>
    <row r="4090">
      <c r="Y4090" s="6" t="s">
        <v>954</v>
      </c>
    </row>
    <row r="4091">
      <c r="Y4091" s="6" t="s">
        <v>954</v>
      </c>
    </row>
    <row r="4092">
      <c r="Y4092" s="6" t="s">
        <v>954</v>
      </c>
    </row>
    <row r="4093">
      <c r="Y4093" s="6" t="s">
        <v>954</v>
      </c>
    </row>
    <row r="4094">
      <c r="Y4094" s="6" t="s">
        <v>954</v>
      </c>
    </row>
    <row r="4095">
      <c r="Y4095" s="6" t="s">
        <v>954</v>
      </c>
    </row>
    <row r="4096">
      <c r="Y4096" s="6" t="s">
        <v>954</v>
      </c>
    </row>
    <row r="4097">
      <c r="Y4097" s="6" t="s">
        <v>954</v>
      </c>
    </row>
    <row r="4098">
      <c r="Y4098" s="6" t="s">
        <v>954</v>
      </c>
    </row>
    <row r="4099">
      <c r="Y4099" s="6" t="s">
        <v>954</v>
      </c>
    </row>
    <row r="4100">
      <c r="Y4100" s="6" t="s">
        <v>954</v>
      </c>
    </row>
    <row r="4101">
      <c r="Y4101" s="6" t="s">
        <v>954</v>
      </c>
    </row>
    <row r="4102">
      <c r="Y4102" s="6" t="s">
        <v>954</v>
      </c>
    </row>
    <row r="4103">
      <c r="Y4103" s="6" t="s">
        <v>954</v>
      </c>
    </row>
    <row r="4104">
      <c r="Y4104" s="6" t="s">
        <v>954</v>
      </c>
    </row>
    <row r="4105">
      <c r="Y4105" s="6" t="s">
        <v>954</v>
      </c>
    </row>
    <row r="4106">
      <c r="Y4106" s="6" t="s">
        <v>954</v>
      </c>
    </row>
    <row r="4107">
      <c r="Y4107" s="6" t="s">
        <v>954</v>
      </c>
    </row>
    <row r="4108">
      <c r="Y4108" s="6" t="s">
        <v>954</v>
      </c>
    </row>
    <row r="4109">
      <c r="Y4109" s="6" t="s">
        <v>954</v>
      </c>
    </row>
    <row r="4110">
      <c r="Y4110" s="6" t="s">
        <v>954</v>
      </c>
    </row>
    <row r="4111">
      <c r="Y4111" s="6" t="s">
        <v>954</v>
      </c>
    </row>
    <row r="4112">
      <c r="Y4112" s="6" t="s">
        <v>954</v>
      </c>
    </row>
    <row r="4113">
      <c r="Y4113" s="6" t="s">
        <v>954</v>
      </c>
    </row>
    <row r="4114">
      <c r="Y4114" s="6" t="s">
        <v>954</v>
      </c>
    </row>
    <row r="4115">
      <c r="Y4115" s="6" t="s">
        <v>954</v>
      </c>
    </row>
    <row r="4116">
      <c r="Y4116" s="6" t="s">
        <v>954</v>
      </c>
    </row>
    <row r="4117">
      <c r="Y4117" s="6" t="s">
        <v>954</v>
      </c>
    </row>
    <row r="4118">
      <c r="Y4118" s="6" t="s">
        <v>954</v>
      </c>
    </row>
    <row r="4119">
      <c r="Y4119" s="6" t="s">
        <v>954</v>
      </c>
    </row>
    <row r="4120">
      <c r="Y4120" s="6" t="s">
        <v>954</v>
      </c>
    </row>
    <row r="4121">
      <c r="Y4121" s="6" t="s">
        <v>954</v>
      </c>
    </row>
    <row r="4122">
      <c r="Y4122" s="6" t="s">
        <v>954</v>
      </c>
    </row>
    <row r="4123">
      <c r="Y4123" s="6" t="s">
        <v>954</v>
      </c>
    </row>
    <row r="4124">
      <c r="Y4124" s="6" t="s">
        <v>954</v>
      </c>
    </row>
    <row r="4125">
      <c r="Y4125" s="6" t="s">
        <v>954</v>
      </c>
    </row>
    <row r="4126">
      <c r="Y4126" s="6" t="s">
        <v>954</v>
      </c>
    </row>
    <row r="4127">
      <c r="Y4127" s="6" t="s">
        <v>954</v>
      </c>
    </row>
    <row r="4128">
      <c r="Y4128" s="6" t="s">
        <v>954</v>
      </c>
    </row>
    <row r="4129">
      <c r="Y4129" s="6" t="s">
        <v>954</v>
      </c>
    </row>
    <row r="4130">
      <c r="Y4130" s="6" t="s">
        <v>954</v>
      </c>
    </row>
    <row r="4131">
      <c r="Y4131" s="6" t="s">
        <v>954</v>
      </c>
    </row>
    <row r="4132">
      <c r="Y4132" s="6" t="s">
        <v>954</v>
      </c>
    </row>
    <row r="4133">
      <c r="Y4133" s="6" t="s">
        <v>954</v>
      </c>
    </row>
    <row r="4134">
      <c r="Y4134" s="6" t="s">
        <v>954</v>
      </c>
    </row>
    <row r="4135">
      <c r="Y4135" s="6" t="s">
        <v>954</v>
      </c>
    </row>
    <row r="4136">
      <c r="Y4136" s="6" t="s">
        <v>954</v>
      </c>
    </row>
    <row r="4137">
      <c r="Y4137" s="6" t="s">
        <v>954</v>
      </c>
    </row>
    <row r="4138">
      <c r="Y4138" s="6" t="s">
        <v>954</v>
      </c>
    </row>
    <row r="4139">
      <c r="Y4139" s="6" t="s">
        <v>954</v>
      </c>
    </row>
    <row r="4140">
      <c r="Y4140" s="6" t="s">
        <v>954</v>
      </c>
    </row>
    <row r="4141">
      <c r="Y4141" s="6" t="s">
        <v>954</v>
      </c>
    </row>
    <row r="4142">
      <c r="Y4142" s="6" t="s">
        <v>954</v>
      </c>
    </row>
    <row r="4143">
      <c r="Y4143" s="6" t="s">
        <v>954</v>
      </c>
    </row>
    <row r="4144">
      <c r="Y4144" s="6" t="s">
        <v>954</v>
      </c>
    </row>
    <row r="4145">
      <c r="Y4145" s="6" t="s">
        <v>954</v>
      </c>
    </row>
    <row r="4146">
      <c r="Y4146" s="6" t="s">
        <v>954</v>
      </c>
    </row>
    <row r="4147">
      <c r="Y4147" s="6" t="s">
        <v>954</v>
      </c>
    </row>
    <row r="4148">
      <c r="Y4148" s="6" t="s">
        <v>954</v>
      </c>
    </row>
    <row r="4149">
      <c r="Y4149" s="6" t="s">
        <v>954</v>
      </c>
    </row>
    <row r="4150">
      <c r="Y4150" s="6" t="s">
        <v>954</v>
      </c>
    </row>
    <row r="4151">
      <c r="Y4151" s="6" t="s">
        <v>954</v>
      </c>
    </row>
    <row r="4152">
      <c r="Y4152" s="6" t="s">
        <v>954</v>
      </c>
    </row>
    <row r="4153">
      <c r="Y4153" s="6" t="s">
        <v>954</v>
      </c>
    </row>
    <row r="4154">
      <c r="Y4154" s="6" t="s">
        <v>954</v>
      </c>
    </row>
    <row r="4155">
      <c r="Y4155" s="6" t="s">
        <v>954</v>
      </c>
    </row>
    <row r="4156">
      <c r="Y4156" s="6" t="s">
        <v>954</v>
      </c>
    </row>
    <row r="4157">
      <c r="Y4157" s="6" t="s">
        <v>954</v>
      </c>
    </row>
    <row r="4158">
      <c r="Y4158" s="6" t="s">
        <v>954</v>
      </c>
    </row>
    <row r="4159">
      <c r="Y4159" s="6" t="s">
        <v>954</v>
      </c>
    </row>
    <row r="4160">
      <c r="Y4160" s="6" t="s">
        <v>954</v>
      </c>
    </row>
    <row r="4161">
      <c r="Y4161" s="6" t="s">
        <v>954</v>
      </c>
    </row>
    <row r="4162">
      <c r="Y4162" s="6" t="s">
        <v>954</v>
      </c>
    </row>
    <row r="4163">
      <c r="Y4163" s="6" t="s">
        <v>954</v>
      </c>
    </row>
    <row r="4164">
      <c r="Y4164" s="6" t="s">
        <v>954</v>
      </c>
    </row>
    <row r="4165">
      <c r="Y4165" s="6" t="s">
        <v>954</v>
      </c>
    </row>
    <row r="4166">
      <c r="Y4166" s="6" t="s">
        <v>954</v>
      </c>
    </row>
    <row r="4167">
      <c r="Y4167" s="6" t="s">
        <v>954</v>
      </c>
    </row>
    <row r="4168">
      <c r="Y4168" s="6" t="s">
        <v>954</v>
      </c>
    </row>
    <row r="4169">
      <c r="Y4169" s="6" t="s">
        <v>954</v>
      </c>
    </row>
    <row r="4170">
      <c r="Y4170" s="6" t="s">
        <v>954</v>
      </c>
    </row>
    <row r="4171">
      <c r="Y4171" s="6" t="s">
        <v>954</v>
      </c>
    </row>
    <row r="4172">
      <c r="Y4172" s="6" t="s">
        <v>954</v>
      </c>
    </row>
    <row r="4173">
      <c r="Y4173" s="6" t="s">
        <v>954</v>
      </c>
    </row>
    <row r="4174">
      <c r="Y4174" s="6" t="s">
        <v>954</v>
      </c>
    </row>
    <row r="4175">
      <c r="Y4175" s="6" t="s">
        <v>954</v>
      </c>
    </row>
    <row r="4176">
      <c r="Y4176" s="6" t="s">
        <v>954</v>
      </c>
    </row>
    <row r="4177">
      <c r="Y4177" s="6" t="s">
        <v>954</v>
      </c>
    </row>
    <row r="4178">
      <c r="Y4178" s="6" t="s">
        <v>954</v>
      </c>
    </row>
    <row r="4179">
      <c r="Y4179" s="6" t="s">
        <v>954</v>
      </c>
    </row>
    <row r="4180">
      <c r="Y4180" s="6" t="s">
        <v>954</v>
      </c>
    </row>
    <row r="4181">
      <c r="Y4181" s="6" t="s">
        <v>954</v>
      </c>
    </row>
    <row r="4182">
      <c r="Y4182" s="6" t="s">
        <v>954</v>
      </c>
    </row>
    <row r="4183">
      <c r="Y4183" s="6" t="s">
        <v>954</v>
      </c>
    </row>
    <row r="4184">
      <c r="Y4184" s="6" t="s">
        <v>954</v>
      </c>
    </row>
    <row r="4185">
      <c r="Y4185" s="6" t="s">
        <v>954</v>
      </c>
    </row>
    <row r="4186">
      <c r="Y4186" s="6" t="s">
        <v>954</v>
      </c>
    </row>
    <row r="4187">
      <c r="Y4187" s="6" t="s">
        <v>954</v>
      </c>
    </row>
    <row r="4188">
      <c r="Y4188" s="6" t="s">
        <v>954</v>
      </c>
    </row>
    <row r="4189">
      <c r="Y4189" s="6" t="s">
        <v>954</v>
      </c>
    </row>
    <row r="4190">
      <c r="Y4190" s="6" t="s">
        <v>954</v>
      </c>
    </row>
    <row r="4191">
      <c r="Y4191" s="6" t="s">
        <v>954</v>
      </c>
    </row>
    <row r="4192">
      <c r="Y4192" s="6" t="s">
        <v>954</v>
      </c>
    </row>
    <row r="4193">
      <c r="Y4193" s="6" t="s">
        <v>954</v>
      </c>
    </row>
    <row r="4194">
      <c r="Y4194" s="6" t="s">
        <v>954</v>
      </c>
    </row>
    <row r="4195">
      <c r="Y4195" s="6" t="s">
        <v>954</v>
      </c>
    </row>
    <row r="4196">
      <c r="Y4196" s="6" t="s">
        <v>954</v>
      </c>
    </row>
    <row r="4197">
      <c r="Y4197" s="6" t="s">
        <v>954</v>
      </c>
    </row>
    <row r="4198">
      <c r="Y4198" s="6" t="s">
        <v>954</v>
      </c>
    </row>
    <row r="4199">
      <c r="Y4199" s="6" t="s">
        <v>954</v>
      </c>
    </row>
    <row r="4200">
      <c r="Y4200" s="6" t="s">
        <v>954</v>
      </c>
    </row>
    <row r="4201">
      <c r="Y4201" s="6" t="s">
        <v>954</v>
      </c>
    </row>
    <row r="4202">
      <c r="Y4202" s="6" t="s">
        <v>954</v>
      </c>
    </row>
    <row r="4203">
      <c r="Y4203" s="6" t="s">
        <v>954</v>
      </c>
    </row>
    <row r="4204">
      <c r="Y4204" s="6" t="s">
        <v>954</v>
      </c>
    </row>
    <row r="4205">
      <c r="Y4205" s="6" t="s">
        <v>954</v>
      </c>
    </row>
    <row r="4206">
      <c r="Y4206" s="6" t="s">
        <v>954</v>
      </c>
    </row>
    <row r="4207">
      <c r="Y4207" s="6" t="s">
        <v>954</v>
      </c>
    </row>
    <row r="4208">
      <c r="Y4208" s="6" t="s">
        <v>954</v>
      </c>
    </row>
    <row r="4209">
      <c r="Y4209" s="6" t="s">
        <v>954</v>
      </c>
    </row>
    <row r="4210">
      <c r="Y4210" s="6" t="s">
        <v>954</v>
      </c>
    </row>
    <row r="4211">
      <c r="Y4211" s="6" t="s">
        <v>954</v>
      </c>
    </row>
    <row r="4212">
      <c r="Y4212" s="6" t="s">
        <v>954</v>
      </c>
    </row>
    <row r="4213">
      <c r="Y4213" s="6" t="s">
        <v>954</v>
      </c>
    </row>
    <row r="4214">
      <c r="Y4214" s="6" t="s">
        <v>954</v>
      </c>
    </row>
    <row r="4215">
      <c r="Y4215" s="6" t="s">
        <v>954</v>
      </c>
    </row>
    <row r="4216">
      <c r="Y4216" s="6" t="s">
        <v>954</v>
      </c>
    </row>
    <row r="4217">
      <c r="Y4217" s="6" t="s">
        <v>954</v>
      </c>
    </row>
    <row r="4218">
      <c r="Y4218" s="6" t="s">
        <v>954</v>
      </c>
    </row>
    <row r="4219">
      <c r="Y4219" s="6" t="s">
        <v>954</v>
      </c>
    </row>
    <row r="4220">
      <c r="Y4220" s="6" t="s">
        <v>954</v>
      </c>
    </row>
    <row r="4221">
      <c r="Y4221" s="6" t="s">
        <v>954</v>
      </c>
    </row>
    <row r="4222">
      <c r="Y4222" s="6" t="s">
        <v>954</v>
      </c>
    </row>
    <row r="4223">
      <c r="Y4223" s="6" t="s">
        <v>954</v>
      </c>
    </row>
    <row r="4224">
      <c r="Y4224" s="6" t="s">
        <v>954</v>
      </c>
    </row>
    <row r="4225">
      <c r="Y4225" s="6" t="s">
        <v>954</v>
      </c>
    </row>
    <row r="4226">
      <c r="Y4226" s="6" t="s">
        <v>954</v>
      </c>
    </row>
    <row r="4227">
      <c r="Y4227" s="6" t="s">
        <v>954</v>
      </c>
    </row>
    <row r="4228">
      <c r="Y4228" s="6" t="s">
        <v>954</v>
      </c>
    </row>
    <row r="4229">
      <c r="Y4229" s="6" t="s">
        <v>954</v>
      </c>
    </row>
    <row r="4230">
      <c r="Y4230" s="6" t="s">
        <v>954</v>
      </c>
    </row>
    <row r="4231">
      <c r="Y4231" s="6" t="s">
        <v>954</v>
      </c>
    </row>
    <row r="4232">
      <c r="Y4232" s="6" t="s">
        <v>954</v>
      </c>
    </row>
    <row r="4233">
      <c r="Y4233" s="6" t="s">
        <v>954</v>
      </c>
    </row>
    <row r="4234">
      <c r="Y4234" s="6" t="s">
        <v>954</v>
      </c>
    </row>
    <row r="4235">
      <c r="Y4235" s="6" t="s">
        <v>954</v>
      </c>
    </row>
    <row r="4236">
      <c r="Y4236" s="6" t="s">
        <v>954</v>
      </c>
    </row>
    <row r="4237">
      <c r="Y4237" s="6" t="s">
        <v>954</v>
      </c>
    </row>
    <row r="4238">
      <c r="Y4238" s="6" t="s">
        <v>954</v>
      </c>
    </row>
    <row r="4239">
      <c r="Y4239" s="6" t="s">
        <v>954</v>
      </c>
    </row>
    <row r="4240">
      <c r="Y4240" s="6" t="s">
        <v>954</v>
      </c>
    </row>
    <row r="4241">
      <c r="Y4241" s="6" t="s">
        <v>954</v>
      </c>
    </row>
    <row r="4242">
      <c r="Y4242" s="6" t="s">
        <v>954</v>
      </c>
    </row>
    <row r="4243">
      <c r="Y4243" s="6" t="s">
        <v>954</v>
      </c>
    </row>
    <row r="4244">
      <c r="Y4244" s="6" t="s">
        <v>954</v>
      </c>
    </row>
    <row r="4245">
      <c r="Y4245" s="6" t="s">
        <v>954</v>
      </c>
    </row>
    <row r="4246">
      <c r="Y4246" s="6" t="s">
        <v>954</v>
      </c>
    </row>
    <row r="4247">
      <c r="Y4247" s="6" t="s">
        <v>954</v>
      </c>
    </row>
    <row r="4248">
      <c r="Y4248" s="6" t="s">
        <v>954</v>
      </c>
    </row>
    <row r="4249">
      <c r="Y4249" s="6" t="s">
        <v>954</v>
      </c>
    </row>
    <row r="4250">
      <c r="Y4250" s="6" t="s">
        <v>954</v>
      </c>
    </row>
    <row r="4251">
      <c r="Y4251" s="6" t="s">
        <v>954</v>
      </c>
    </row>
    <row r="4252">
      <c r="Y4252" s="6" t="s">
        <v>954</v>
      </c>
    </row>
    <row r="4253">
      <c r="Y4253" s="6" t="s">
        <v>954</v>
      </c>
    </row>
    <row r="4254">
      <c r="Y4254" s="6" t="s">
        <v>954</v>
      </c>
    </row>
    <row r="4255">
      <c r="Y4255" s="6" t="s">
        <v>954</v>
      </c>
    </row>
    <row r="4256">
      <c r="Y4256" s="6" t="s">
        <v>954</v>
      </c>
    </row>
    <row r="4257">
      <c r="Y4257" s="6" t="s">
        <v>954</v>
      </c>
    </row>
    <row r="4258">
      <c r="Y4258" s="6" t="s">
        <v>954</v>
      </c>
    </row>
    <row r="4259">
      <c r="Y4259" s="6" t="s">
        <v>954</v>
      </c>
    </row>
    <row r="4260">
      <c r="Y4260" s="6" t="s">
        <v>954</v>
      </c>
    </row>
    <row r="4261">
      <c r="Y4261" s="6" t="s">
        <v>954</v>
      </c>
    </row>
    <row r="4262">
      <c r="Y4262" s="6" t="s">
        <v>954</v>
      </c>
    </row>
    <row r="4263">
      <c r="Y4263" s="6" t="s">
        <v>954</v>
      </c>
    </row>
    <row r="4264">
      <c r="Y4264" s="6" t="s">
        <v>954</v>
      </c>
    </row>
    <row r="4265">
      <c r="Y4265" s="6" t="s">
        <v>954</v>
      </c>
    </row>
    <row r="4266">
      <c r="Y4266" s="6" t="s">
        <v>954</v>
      </c>
    </row>
    <row r="4267">
      <c r="Y4267" s="6" t="s">
        <v>954</v>
      </c>
    </row>
    <row r="4268">
      <c r="Y4268" s="6" t="s">
        <v>954</v>
      </c>
    </row>
    <row r="4269">
      <c r="Y4269" s="6" t="s">
        <v>954</v>
      </c>
    </row>
    <row r="4270">
      <c r="Y4270" s="6" t="s">
        <v>954</v>
      </c>
    </row>
    <row r="4271">
      <c r="Y4271" s="6" t="s">
        <v>954</v>
      </c>
    </row>
    <row r="4272">
      <c r="Y4272" s="6" t="s">
        <v>954</v>
      </c>
    </row>
    <row r="4273">
      <c r="Y4273" s="6" t="s">
        <v>954</v>
      </c>
    </row>
    <row r="4274">
      <c r="Y4274" s="6" t="s">
        <v>954</v>
      </c>
    </row>
    <row r="4275">
      <c r="Y4275" s="6" t="s">
        <v>954</v>
      </c>
    </row>
    <row r="4276">
      <c r="Y4276" s="6" t="s">
        <v>954</v>
      </c>
    </row>
    <row r="4277">
      <c r="Y4277" s="6" t="s">
        <v>954</v>
      </c>
    </row>
    <row r="4278">
      <c r="Y4278" s="6" t="s">
        <v>954</v>
      </c>
    </row>
    <row r="4279">
      <c r="Y4279" s="6" t="s">
        <v>954</v>
      </c>
    </row>
    <row r="4280">
      <c r="Y4280" s="6" t="s">
        <v>954</v>
      </c>
    </row>
    <row r="4281">
      <c r="Y4281" s="6" t="s">
        <v>954</v>
      </c>
    </row>
    <row r="4282">
      <c r="Y4282" s="6" t="s">
        <v>954</v>
      </c>
    </row>
    <row r="4283">
      <c r="Y4283" s="6" t="s">
        <v>954</v>
      </c>
    </row>
    <row r="4284">
      <c r="Y4284" s="6" t="s">
        <v>954</v>
      </c>
    </row>
    <row r="4285">
      <c r="Y4285" s="6" t="s">
        <v>954</v>
      </c>
    </row>
    <row r="4286">
      <c r="Y4286" s="6" t="s">
        <v>954</v>
      </c>
    </row>
    <row r="4287">
      <c r="Y4287" s="6" t="s">
        <v>954</v>
      </c>
    </row>
    <row r="4288">
      <c r="Y4288" s="6" t="s">
        <v>954</v>
      </c>
    </row>
    <row r="4289">
      <c r="Y4289" s="6" t="s">
        <v>954</v>
      </c>
    </row>
    <row r="4290">
      <c r="Y4290" s="6" t="s">
        <v>954</v>
      </c>
    </row>
    <row r="4291">
      <c r="Y4291" s="6" t="s">
        <v>954</v>
      </c>
    </row>
    <row r="4292">
      <c r="Y4292" s="6" t="s">
        <v>954</v>
      </c>
    </row>
    <row r="4293">
      <c r="Y4293" s="6" t="s">
        <v>954</v>
      </c>
    </row>
    <row r="4294">
      <c r="Y4294" s="6" t="s">
        <v>954</v>
      </c>
    </row>
    <row r="4295">
      <c r="Y4295" s="6" t="s">
        <v>954</v>
      </c>
    </row>
    <row r="4296">
      <c r="Y4296" s="6" t="s">
        <v>954</v>
      </c>
    </row>
    <row r="4297">
      <c r="Y4297" s="6" t="s">
        <v>954</v>
      </c>
    </row>
    <row r="4298">
      <c r="Y4298" s="6" t="s">
        <v>954</v>
      </c>
    </row>
    <row r="4299">
      <c r="Y4299" s="6" t="s">
        <v>954</v>
      </c>
    </row>
    <row r="4300">
      <c r="Y4300" s="6" t="s">
        <v>954</v>
      </c>
    </row>
    <row r="4301">
      <c r="Y4301" s="6" t="s">
        <v>954</v>
      </c>
    </row>
    <row r="4302">
      <c r="Y4302" s="6" t="s">
        <v>954</v>
      </c>
    </row>
    <row r="4303">
      <c r="Y4303" s="6" t="s">
        <v>954</v>
      </c>
    </row>
    <row r="4304">
      <c r="Y4304" s="6" t="s">
        <v>954</v>
      </c>
    </row>
    <row r="4305">
      <c r="Y4305" s="6" t="s">
        <v>954</v>
      </c>
    </row>
    <row r="4306">
      <c r="Y4306" s="6" t="s">
        <v>954</v>
      </c>
    </row>
    <row r="4307">
      <c r="Y4307" s="6" t="s">
        <v>954</v>
      </c>
    </row>
    <row r="4308">
      <c r="Y4308" s="6" t="s">
        <v>954</v>
      </c>
    </row>
    <row r="4309">
      <c r="Y4309" s="6" t="s">
        <v>954</v>
      </c>
    </row>
    <row r="4310">
      <c r="Y4310" s="6" t="s">
        <v>954</v>
      </c>
    </row>
    <row r="4311">
      <c r="Y4311" s="6" t="s">
        <v>954</v>
      </c>
    </row>
    <row r="4312">
      <c r="Y4312" s="6" t="s">
        <v>954</v>
      </c>
    </row>
    <row r="4313">
      <c r="Y4313" s="6" t="s">
        <v>954</v>
      </c>
    </row>
    <row r="4314">
      <c r="Y4314" s="6" t="s">
        <v>954</v>
      </c>
    </row>
    <row r="4315">
      <c r="Y4315" s="6" t="s">
        <v>954</v>
      </c>
    </row>
    <row r="4316">
      <c r="Y4316" s="6" t="s">
        <v>954</v>
      </c>
    </row>
    <row r="4317">
      <c r="Y4317" s="6" t="s">
        <v>954</v>
      </c>
    </row>
    <row r="4318">
      <c r="Y4318" s="6" t="s">
        <v>954</v>
      </c>
    </row>
    <row r="4319">
      <c r="Y4319" s="6" t="s">
        <v>954</v>
      </c>
    </row>
    <row r="4320">
      <c r="Y4320" s="6" t="s">
        <v>954</v>
      </c>
    </row>
    <row r="4321">
      <c r="Y4321" s="6" t="s">
        <v>954</v>
      </c>
    </row>
    <row r="4322">
      <c r="Y4322" s="6" t="s">
        <v>954</v>
      </c>
    </row>
    <row r="4323">
      <c r="Y4323" s="6" t="s">
        <v>954</v>
      </c>
    </row>
    <row r="4324">
      <c r="Y4324" s="6" t="s">
        <v>954</v>
      </c>
    </row>
    <row r="4325">
      <c r="Y4325" s="6" t="s">
        <v>954</v>
      </c>
    </row>
    <row r="4326">
      <c r="Y4326" s="6" t="s">
        <v>954</v>
      </c>
    </row>
    <row r="4327">
      <c r="Y4327" s="6" t="s">
        <v>954</v>
      </c>
    </row>
    <row r="4328">
      <c r="Y4328" s="6" t="s">
        <v>954</v>
      </c>
    </row>
    <row r="4329">
      <c r="Y4329" s="6" t="s">
        <v>954</v>
      </c>
    </row>
    <row r="4330">
      <c r="Y4330" s="6" t="s">
        <v>954</v>
      </c>
    </row>
    <row r="4331">
      <c r="Y4331" s="6" t="s">
        <v>954</v>
      </c>
    </row>
    <row r="4332">
      <c r="Y4332" s="6" t="s">
        <v>954</v>
      </c>
    </row>
    <row r="4333">
      <c r="Y4333" s="6" t="s">
        <v>954</v>
      </c>
    </row>
    <row r="4334">
      <c r="Y4334" s="6" t="s">
        <v>954</v>
      </c>
    </row>
    <row r="4335">
      <c r="Y4335" s="6" t="s">
        <v>954</v>
      </c>
    </row>
    <row r="4336">
      <c r="Y4336" s="6" t="s">
        <v>954</v>
      </c>
    </row>
    <row r="4337">
      <c r="Y4337" s="6" t="s">
        <v>954</v>
      </c>
    </row>
    <row r="4338">
      <c r="Y4338" s="6" t="s">
        <v>954</v>
      </c>
    </row>
    <row r="4339">
      <c r="Y4339" s="6" t="s">
        <v>954</v>
      </c>
    </row>
    <row r="4340">
      <c r="Y4340" s="6" t="s">
        <v>954</v>
      </c>
    </row>
    <row r="4341">
      <c r="Y4341" s="6" t="s">
        <v>954</v>
      </c>
    </row>
    <row r="4342">
      <c r="Y4342" s="6" t="s">
        <v>954</v>
      </c>
    </row>
    <row r="4343">
      <c r="Y4343" s="6" t="s">
        <v>954</v>
      </c>
    </row>
    <row r="4344">
      <c r="Y4344" s="6" t="s">
        <v>954</v>
      </c>
    </row>
    <row r="4345">
      <c r="Y4345" s="6" t="s">
        <v>954</v>
      </c>
    </row>
    <row r="4346">
      <c r="Y4346" s="6" t="s">
        <v>954</v>
      </c>
    </row>
    <row r="4347">
      <c r="Y4347" s="6" t="s">
        <v>954</v>
      </c>
    </row>
    <row r="4348">
      <c r="Y4348" s="6" t="s">
        <v>954</v>
      </c>
    </row>
    <row r="4349">
      <c r="Y4349" s="6" t="s">
        <v>954</v>
      </c>
    </row>
    <row r="4350">
      <c r="Y4350" s="6" t="s">
        <v>954</v>
      </c>
    </row>
    <row r="4351">
      <c r="Y4351" s="6" t="s">
        <v>954</v>
      </c>
    </row>
    <row r="4352">
      <c r="Y4352" s="6" t="s">
        <v>954</v>
      </c>
    </row>
    <row r="4353">
      <c r="Y4353" s="6" t="s">
        <v>954</v>
      </c>
    </row>
    <row r="4354">
      <c r="Y4354" s="6" t="s">
        <v>954</v>
      </c>
    </row>
    <row r="4355">
      <c r="Y4355" s="6" t="s">
        <v>954</v>
      </c>
    </row>
    <row r="4356">
      <c r="Y4356" s="6" t="s">
        <v>954</v>
      </c>
    </row>
    <row r="4357">
      <c r="Y4357" s="6" t="s">
        <v>954</v>
      </c>
    </row>
    <row r="4358">
      <c r="Y4358" s="6" t="s">
        <v>954</v>
      </c>
    </row>
    <row r="4359">
      <c r="Y4359" s="6" t="s">
        <v>954</v>
      </c>
    </row>
    <row r="4360">
      <c r="Y4360" s="6" t="s">
        <v>954</v>
      </c>
    </row>
    <row r="4361">
      <c r="Y4361" s="6" t="s">
        <v>954</v>
      </c>
    </row>
    <row r="4362">
      <c r="Y4362" s="6" t="s">
        <v>954</v>
      </c>
    </row>
    <row r="4363">
      <c r="Y4363" s="6" t="s">
        <v>954</v>
      </c>
    </row>
    <row r="4364">
      <c r="Y4364" s="6" t="s">
        <v>954</v>
      </c>
    </row>
    <row r="4365">
      <c r="Y4365" s="6" t="s">
        <v>954</v>
      </c>
    </row>
    <row r="4366">
      <c r="Y4366" s="6" t="s">
        <v>954</v>
      </c>
    </row>
    <row r="4367">
      <c r="Y4367" s="6" t="s">
        <v>954</v>
      </c>
    </row>
    <row r="4368">
      <c r="Y4368" s="6" t="s">
        <v>954</v>
      </c>
    </row>
    <row r="4369">
      <c r="Y4369" s="6" t="s">
        <v>954</v>
      </c>
    </row>
    <row r="4370">
      <c r="Y4370" s="6" t="s">
        <v>954</v>
      </c>
    </row>
    <row r="4371">
      <c r="Y4371" s="6" t="s">
        <v>954</v>
      </c>
    </row>
    <row r="4372">
      <c r="Y4372" s="6" t="s">
        <v>954</v>
      </c>
    </row>
    <row r="4373">
      <c r="Y4373" s="6" t="s">
        <v>954</v>
      </c>
    </row>
    <row r="4374">
      <c r="Y4374" s="6" t="s">
        <v>954</v>
      </c>
    </row>
    <row r="4375">
      <c r="Y4375" s="6" t="s">
        <v>954</v>
      </c>
    </row>
    <row r="4376">
      <c r="Y4376" s="6" t="s">
        <v>954</v>
      </c>
    </row>
    <row r="4377">
      <c r="Y4377" s="6" t="s">
        <v>954</v>
      </c>
    </row>
    <row r="4378">
      <c r="Y4378" s="6" t="s">
        <v>954</v>
      </c>
    </row>
    <row r="4379">
      <c r="Y4379" s="6" t="s">
        <v>954</v>
      </c>
    </row>
    <row r="4380">
      <c r="Y4380" s="6" t="s">
        <v>954</v>
      </c>
    </row>
    <row r="4381">
      <c r="Y4381" s="6" t="s">
        <v>954</v>
      </c>
    </row>
    <row r="4382">
      <c r="Y4382" s="6" t="s">
        <v>954</v>
      </c>
    </row>
    <row r="4383">
      <c r="Y4383" s="6" t="s">
        <v>954</v>
      </c>
    </row>
    <row r="4384">
      <c r="Y4384" s="6" t="s">
        <v>954</v>
      </c>
    </row>
    <row r="4385">
      <c r="Y4385" s="6" t="s">
        <v>954</v>
      </c>
    </row>
    <row r="4386">
      <c r="Y4386" s="6" t="s">
        <v>954</v>
      </c>
    </row>
    <row r="4387">
      <c r="Y4387" s="6" t="s">
        <v>954</v>
      </c>
    </row>
    <row r="4388">
      <c r="Y4388" s="6" t="s">
        <v>954</v>
      </c>
    </row>
    <row r="4389">
      <c r="Y4389" s="6" t="s">
        <v>954</v>
      </c>
    </row>
    <row r="4390">
      <c r="Y4390" s="6" t="s">
        <v>954</v>
      </c>
    </row>
    <row r="4391">
      <c r="Y4391" s="6" t="s">
        <v>954</v>
      </c>
    </row>
    <row r="4392">
      <c r="Y4392" s="6" t="s">
        <v>954</v>
      </c>
    </row>
    <row r="4393">
      <c r="Y4393" s="6" t="s">
        <v>954</v>
      </c>
    </row>
    <row r="4394">
      <c r="Y4394" s="6" t="s">
        <v>954</v>
      </c>
    </row>
    <row r="4395">
      <c r="Y4395" s="6" t="s">
        <v>954</v>
      </c>
    </row>
    <row r="4396">
      <c r="Y4396" s="6" t="s">
        <v>954</v>
      </c>
    </row>
    <row r="4397">
      <c r="Y4397" s="6" t="s">
        <v>954</v>
      </c>
    </row>
    <row r="4398">
      <c r="Y4398" s="6" t="s">
        <v>954</v>
      </c>
    </row>
    <row r="4399">
      <c r="Y4399" s="6" t="s">
        <v>954</v>
      </c>
    </row>
    <row r="4400">
      <c r="Y4400" s="6" t="s">
        <v>954</v>
      </c>
    </row>
    <row r="4401">
      <c r="Y4401" s="6" t="s">
        <v>954</v>
      </c>
    </row>
    <row r="4402">
      <c r="Y4402" s="6" t="s">
        <v>954</v>
      </c>
    </row>
    <row r="4403">
      <c r="Y4403" s="6" t="s">
        <v>954</v>
      </c>
    </row>
    <row r="4404">
      <c r="Y4404" s="6" t="s">
        <v>954</v>
      </c>
    </row>
    <row r="4405">
      <c r="Y4405" s="6" t="s">
        <v>954</v>
      </c>
    </row>
    <row r="4406">
      <c r="Y4406" s="6" t="s">
        <v>954</v>
      </c>
    </row>
    <row r="4407">
      <c r="Y4407" s="6" t="s">
        <v>954</v>
      </c>
    </row>
    <row r="4408">
      <c r="Y4408" s="6" t="s">
        <v>954</v>
      </c>
    </row>
    <row r="4409">
      <c r="Y4409" s="6" t="s">
        <v>954</v>
      </c>
    </row>
    <row r="4410">
      <c r="Y4410" s="6" t="s">
        <v>954</v>
      </c>
    </row>
    <row r="4411">
      <c r="Y4411" s="6" t="s">
        <v>954</v>
      </c>
    </row>
    <row r="4412">
      <c r="Y4412" s="6" t="s">
        <v>954</v>
      </c>
    </row>
    <row r="4413">
      <c r="Y4413" s="6" t="s">
        <v>954</v>
      </c>
    </row>
    <row r="4414">
      <c r="Y4414" s="6" t="s">
        <v>954</v>
      </c>
    </row>
    <row r="4415">
      <c r="Y4415" s="6" t="s">
        <v>954</v>
      </c>
    </row>
    <row r="4416">
      <c r="Y4416" s="6" t="s">
        <v>954</v>
      </c>
    </row>
    <row r="4417">
      <c r="Y4417" s="6" t="s">
        <v>954</v>
      </c>
    </row>
    <row r="4418">
      <c r="Y4418" s="6" t="s">
        <v>954</v>
      </c>
    </row>
    <row r="4419">
      <c r="Y4419" s="6" t="s">
        <v>954</v>
      </c>
    </row>
    <row r="4420">
      <c r="Y4420" s="6" t="s">
        <v>954</v>
      </c>
    </row>
    <row r="4421">
      <c r="Y4421" s="6" t="s">
        <v>954</v>
      </c>
    </row>
    <row r="4422">
      <c r="Y4422" s="6" t="s">
        <v>954</v>
      </c>
    </row>
    <row r="4423">
      <c r="Y4423" s="6" t="s">
        <v>954</v>
      </c>
    </row>
    <row r="4424">
      <c r="Y4424" s="6" t="s">
        <v>954</v>
      </c>
    </row>
    <row r="4425">
      <c r="Y4425" s="6" t="s">
        <v>954</v>
      </c>
    </row>
    <row r="4426">
      <c r="Y4426" s="6" t="s">
        <v>954</v>
      </c>
    </row>
    <row r="4427">
      <c r="Y4427" s="6" t="s">
        <v>954</v>
      </c>
    </row>
    <row r="4428">
      <c r="Y4428" s="6" t="s">
        <v>954</v>
      </c>
    </row>
    <row r="4429">
      <c r="Y4429" s="6" t="s">
        <v>954</v>
      </c>
    </row>
    <row r="4430">
      <c r="Y4430" s="6" t="s">
        <v>954</v>
      </c>
    </row>
    <row r="4431">
      <c r="Y4431" s="6" t="s">
        <v>954</v>
      </c>
    </row>
    <row r="4432">
      <c r="Y4432" s="6" t="s">
        <v>954</v>
      </c>
    </row>
    <row r="4433">
      <c r="Y4433" s="6" t="s">
        <v>954</v>
      </c>
    </row>
    <row r="4434">
      <c r="Y4434" s="6" t="s">
        <v>954</v>
      </c>
    </row>
    <row r="4435">
      <c r="Y4435" s="6" t="s">
        <v>954</v>
      </c>
    </row>
    <row r="4436">
      <c r="Y4436" s="6" t="s">
        <v>954</v>
      </c>
    </row>
    <row r="4437">
      <c r="Y4437" s="6" t="s">
        <v>954</v>
      </c>
    </row>
    <row r="4438">
      <c r="Y4438" s="6" t="s">
        <v>954</v>
      </c>
    </row>
    <row r="4439">
      <c r="Y4439" s="6" t="s">
        <v>954</v>
      </c>
    </row>
    <row r="4440">
      <c r="Y4440" s="6" t="s">
        <v>954</v>
      </c>
    </row>
    <row r="4441">
      <c r="Y4441" s="6" t="s">
        <v>954</v>
      </c>
    </row>
    <row r="4442">
      <c r="Y4442" s="6" t="s">
        <v>954</v>
      </c>
    </row>
    <row r="4443">
      <c r="Y4443" s="6" t="s">
        <v>954</v>
      </c>
    </row>
    <row r="4444">
      <c r="Y4444" s="6" t="s">
        <v>954</v>
      </c>
    </row>
    <row r="4445">
      <c r="Y4445" s="6" t="s">
        <v>954</v>
      </c>
    </row>
    <row r="4446">
      <c r="Y4446" s="6" t="s">
        <v>954</v>
      </c>
    </row>
    <row r="4447">
      <c r="Y4447" s="6" t="s">
        <v>954</v>
      </c>
    </row>
    <row r="4448">
      <c r="Y4448" s="6" t="s">
        <v>954</v>
      </c>
    </row>
    <row r="4449">
      <c r="Y4449" s="6" t="s">
        <v>954</v>
      </c>
    </row>
    <row r="4450">
      <c r="Y4450" s="6" t="s">
        <v>954</v>
      </c>
    </row>
    <row r="4451">
      <c r="Y4451" s="6" t="s">
        <v>954</v>
      </c>
    </row>
    <row r="4452">
      <c r="Y4452" s="6" t="s">
        <v>954</v>
      </c>
    </row>
    <row r="4453">
      <c r="Y4453" s="6" t="s">
        <v>954</v>
      </c>
    </row>
    <row r="4454">
      <c r="Y4454" s="6" t="s">
        <v>954</v>
      </c>
    </row>
    <row r="4455">
      <c r="Y4455" s="6" t="s">
        <v>954</v>
      </c>
    </row>
    <row r="4456">
      <c r="Y4456" s="6" t="s">
        <v>954</v>
      </c>
    </row>
    <row r="4457">
      <c r="Y4457" s="6" t="s">
        <v>954</v>
      </c>
    </row>
    <row r="4458">
      <c r="Y4458" s="6" t="s">
        <v>954</v>
      </c>
    </row>
    <row r="4459">
      <c r="Y4459" s="6" t="s">
        <v>954</v>
      </c>
    </row>
    <row r="4460">
      <c r="Y4460" s="6" t="s">
        <v>954</v>
      </c>
    </row>
    <row r="4461">
      <c r="Y4461" s="6" t="s">
        <v>954</v>
      </c>
    </row>
    <row r="4462">
      <c r="Y4462" s="6" t="s">
        <v>954</v>
      </c>
    </row>
    <row r="4463">
      <c r="Y4463" s="6" t="s">
        <v>954</v>
      </c>
    </row>
    <row r="4464">
      <c r="Y4464" s="6" t="s">
        <v>954</v>
      </c>
    </row>
    <row r="4465">
      <c r="Y4465" s="6" t="s">
        <v>954</v>
      </c>
    </row>
    <row r="4466">
      <c r="Y4466" s="6" t="s">
        <v>954</v>
      </c>
    </row>
    <row r="4467">
      <c r="Y4467" s="6" t="s">
        <v>954</v>
      </c>
    </row>
    <row r="4468">
      <c r="Y4468" s="6" t="s">
        <v>954</v>
      </c>
    </row>
    <row r="4469">
      <c r="Y4469" s="6" t="s">
        <v>954</v>
      </c>
    </row>
    <row r="4470">
      <c r="Y4470" s="6" t="s">
        <v>954</v>
      </c>
    </row>
    <row r="4471">
      <c r="Y4471" s="6" t="s">
        <v>954</v>
      </c>
    </row>
    <row r="4472">
      <c r="Y4472" s="6" t="s">
        <v>954</v>
      </c>
    </row>
    <row r="4473">
      <c r="Y4473" s="6" t="s">
        <v>954</v>
      </c>
    </row>
    <row r="4474">
      <c r="Y4474" s="6" t="s">
        <v>954</v>
      </c>
    </row>
    <row r="4475">
      <c r="Y4475" s="6" t="s">
        <v>954</v>
      </c>
    </row>
    <row r="4476">
      <c r="Y4476" s="6" t="s">
        <v>954</v>
      </c>
    </row>
    <row r="4477">
      <c r="Y4477" s="6" t="s">
        <v>954</v>
      </c>
    </row>
    <row r="4478">
      <c r="Y4478" s="6" t="s">
        <v>954</v>
      </c>
    </row>
    <row r="4479">
      <c r="Y4479" s="6" t="s">
        <v>954</v>
      </c>
    </row>
    <row r="4480">
      <c r="Y4480" s="6" t="s">
        <v>954</v>
      </c>
    </row>
    <row r="4481">
      <c r="Y4481" s="6" t="s">
        <v>954</v>
      </c>
    </row>
    <row r="4482">
      <c r="Y4482" s="6" t="s">
        <v>954</v>
      </c>
    </row>
    <row r="4483">
      <c r="Y4483" s="6" t="s">
        <v>954</v>
      </c>
    </row>
    <row r="4484">
      <c r="Y4484" s="6" t="s">
        <v>954</v>
      </c>
    </row>
    <row r="4485">
      <c r="Y4485" s="6" t="s">
        <v>954</v>
      </c>
    </row>
    <row r="4486">
      <c r="Y4486" s="6" t="s">
        <v>954</v>
      </c>
    </row>
    <row r="4487">
      <c r="Y4487" s="6" t="s">
        <v>954</v>
      </c>
    </row>
    <row r="4488">
      <c r="Y4488" s="6" t="s">
        <v>954</v>
      </c>
    </row>
    <row r="4489">
      <c r="Y4489" s="6" t="s">
        <v>954</v>
      </c>
    </row>
    <row r="4490">
      <c r="Y4490" s="6" t="s">
        <v>954</v>
      </c>
    </row>
    <row r="4491">
      <c r="Y4491" s="6" t="s">
        <v>954</v>
      </c>
    </row>
    <row r="4492">
      <c r="Y4492" s="6" t="s">
        <v>954</v>
      </c>
    </row>
    <row r="4493">
      <c r="Y4493" s="6" t="s">
        <v>954</v>
      </c>
    </row>
    <row r="4494">
      <c r="Y4494" s="6" t="s">
        <v>954</v>
      </c>
    </row>
    <row r="4495">
      <c r="Y4495" s="6" t="s">
        <v>954</v>
      </c>
    </row>
    <row r="4496">
      <c r="Y4496" s="6" t="s">
        <v>954</v>
      </c>
    </row>
    <row r="4497">
      <c r="Y4497" s="6" t="s">
        <v>954</v>
      </c>
    </row>
    <row r="4498">
      <c r="Y4498" s="6" t="s">
        <v>954</v>
      </c>
    </row>
    <row r="4499">
      <c r="Y4499" s="6" t="s">
        <v>954</v>
      </c>
    </row>
    <row r="4500">
      <c r="Y4500" s="6" t="s">
        <v>954</v>
      </c>
    </row>
    <row r="4501">
      <c r="Y4501" s="6" t="s">
        <v>954</v>
      </c>
    </row>
    <row r="4502">
      <c r="Y4502" s="6" t="s">
        <v>954</v>
      </c>
    </row>
    <row r="4503">
      <c r="Y4503" s="6" t="s">
        <v>954</v>
      </c>
    </row>
    <row r="4504">
      <c r="Y4504" s="6" t="s">
        <v>954</v>
      </c>
    </row>
    <row r="4505">
      <c r="Y4505" s="6" t="s">
        <v>954</v>
      </c>
    </row>
    <row r="4506">
      <c r="Y4506" s="6" t="s">
        <v>954</v>
      </c>
    </row>
    <row r="4507">
      <c r="Y4507" s="6" t="s">
        <v>954</v>
      </c>
    </row>
    <row r="4508">
      <c r="Y4508" s="6" t="s">
        <v>954</v>
      </c>
    </row>
    <row r="4509">
      <c r="Y4509" s="6" t="s">
        <v>954</v>
      </c>
    </row>
    <row r="4510">
      <c r="Y4510" s="6" t="s">
        <v>954</v>
      </c>
    </row>
    <row r="4511">
      <c r="Y4511" s="6" t="s">
        <v>954</v>
      </c>
    </row>
    <row r="4512">
      <c r="Y4512" s="6" t="s">
        <v>954</v>
      </c>
    </row>
    <row r="4513">
      <c r="Y4513" s="6" t="s">
        <v>954</v>
      </c>
    </row>
    <row r="4514">
      <c r="Y4514" s="6" t="s">
        <v>954</v>
      </c>
    </row>
    <row r="4515">
      <c r="Y4515" s="6" t="s">
        <v>954</v>
      </c>
    </row>
    <row r="4516">
      <c r="Y4516" s="6" t="s">
        <v>954</v>
      </c>
    </row>
    <row r="4517">
      <c r="Y4517" s="6" t="s">
        <v>954</v>
      </c>
    </row>
    <row r="4518">
      <c r="Y4518" s="6" t="s">
        <v>954</v>
      </c>
    </row>
    <row r="4519">
      <c r="Y4519" s="6" t="s">
        <v>954</v>
      </c>
    </row>
    <row r="4520">
      <c r="Y4520" s="6" t="s">
        <v>954</v>
      </c>
    </row>
    <row r="4521">
      <c r="Y4521" s="6" t="s">
        <v>954</v>
      </c>
    </row>
    <row r="4522">
      <c r="Y4522" s="6" t="s">
        <v>954</v>
      </c>
    </row>
    <row r="4523">
      <c r="Y4523" s="6" t="s">
        <v>954</v>
      </c>
    </row>
    <row r="4524">
      <c r="Y4524" s="6" t="s">
        <v>954</v>
      </c>
    </row>
    <row r="4525">
      <c r="Y4525" s="6" t="s">
        <v>954</v>
      </c>
    </row>
    <row r="4526">
      <c r="Y4526" s="6" t="s">
        <v>954</v>
      </c>
    </row>
    <row r="4527">
      <c r="Y4527" s="6" t="s">
        <v>954</v>
      </c>
    </row>
    <row r="4528">
      <c r="Y4528" s="6" t="s">
        <v>954</v>
      </c>
    </row>
    <row r="4529">
      <c r="Y4529" s="6" t="s">
        <v>954</v>
      </c>
    </row>
    <row r="4530">
      <c r="Y4530" s="6" t="s">
        <v>954</v>
      </c>
    </row>
    <row r="4531">
      <c r="Y4531" s="6" t="s">
        <v>954</v>
      </c>
    </row>
    <row r="4532">
      <c r="Y4532" s="6" t="s">
        <v>954</v>
      </c>
    </row>
    <row r="4533">
      <c r="Y4533" s="6" t="s">
        <v>954</v>
      </c>
    </row>
    <row r="4534">
      <c r="Y4534" s="6" t="s">
        <v>954</v>
      </c>
    </row>
    <row r="4535">
      <c r="Y4535" s="6" t="s">
        <v>954</v>
      </c>
    </row>
    <row r="4536">
      <c r="Y4536" s="6" t="s">
        <v>954</v>
      </c>
    </row>
    <row r="4537">
      <c r="Y4537" s="6" t="s">
        <v>954</v>
      </c>
    </row>
    <row r="4538">
      <c r="Y4538" s="6" t="s">
        <v>954</v>
      </c>
    </row>
    <row r="4539">
      <c r="Y4539" s="6" t="s">
        <v>954</v>
      </c>
    </row>
    <row r="4540">
      <c r="Y4540" s="6" t="s">
        <v>954</v>
      </c>
    </row>
    <row r="4541">
      <c r="Y4541" s="6" t="s">
        <v>954</v>
      </c>
    </row>
    <row r="4542">
      <c r="Y4542" s="6" t="s">
        <v>954</v>
      </c>
    </row>
    <row r="4543">
      <c r="Y4543" s="6" t="s">
        <v>954</v>
      </c>
    </row>
    <row r="4544">
      <c r="Y4544" s="6" t="s">
        <v>954</v>
      </c>
    </row>
    <row r="4545">
      <c r="Y4545" s="6" t="s">
        <v>954</v>
      </c>
    </row>
    <row r="4546">
      <c r="Y4546" s="6" t="s">
        <v>954</v>
      </c>
    </row>
    <row r="4547">
      <c r="Y4547" s="6" t="s">
        <v>954</v>
      </c>
    </row>
    <row r="4548">
      <c r="Y4548" s="6" t="s">
        <v>954</v>
      </c>
    </row>
    <row r="4549">
      <c r="Y4549" s="6" t="s">
        <v>954</v>
      </c>
    </row>
    <row r="4550">
      <c r="Y4550" s="6" t="s">
        <v>954</v>
      </c>
    </row>
    <row r="4551">
      <c r="Y4551" s="6" t="s">
        <v>954</v>
      </c>
    </row>
    <row r="4552">
      <c r="Y4552" s="6" t="s">
        <v>954</v>
      </c>
    </row>
    <row r="4553">
      <c r="Y4553" s="6" t="s">
        <v>954</v>
      </c>
    </row>
    <row r="4554">
      <c r="Y4554" s="6" t="s">
        <v>954</v>
      </c>
    </row>
    <row r="4555">
      <c r="Y4555" s="6" t="s">
        <v>954</v>
      </c>
    </row>
    <row r="4556">
      <c r="Y4556" s="6" t="s">
        <v>954</v>
      </c>
    </row>
    <row r="4557">
      <c r="Y4557" s="6" t="s">
        <v>954</v>
      </c>
    </row>
    <row r="4558">
      <c r="Y4558" s="6" t="s">
        <v>954</v>
      </c>
    </row>
    <row r="4559">
      <c r="Y4559" s="6" t="s">
        <v>954</v>
      </c>
    </row>
    <row r="4560">
      <c r="Y4560" s="6" t="s">
        <v>954</v>
      </c>
    </row>
    <row r="4561">
      <c r="Y4561" s="6" t="s">
        <v>954</v>
      </c>
    </row>
    <row r="4562">
      <c r="Y4562" s="6" t="s">
        <v>954</v>
      </c>
    </row>
    <row r="4563">
      <c r="Y4563" s="6" t="s">
        <v>954</v>
      </c>
    </row>
    <row r="4564">
      <c r="Y4564" s="6" t="s">
        <v>954</v>
      </c>
    </row>
    <row r="4565">
      <c r="Y4565" s="6" t="s">
        <v>954</v>
      </c>
    </row>
    <row r="4566">
      <c r="Y4566" s="6" t="s">
        <v>954</v>
      </c>
    </row>
    <row r="4567">
      <c r="Y4567" s="6" t="s">
        <v>954</v>
      </c>
    </row>
    <row r="4568">
      <c r="Y4568" s="6" t="s">
        <v>954</v>
      </c>
    </row>
    <row r="4569">
      <c r="Y4569" s="6" t="s">
        <v>954</v>
      </c>
    </row>
    <row r="4570">
      <c r="Y4570" s="6" t="s">
        <v>954</v>
      </c>
    </row>
    <row r="4571">
      <c r="Y4571" s="6" t="s">
        <v>954</v>
      </c>
    </row>
    <row r="4572">
      <c r="Y4572" s="6" t="s">
        <v>954</v>
      </c>
    </row>
    <row r="4573">
      <c r="Y4573" s="6" t="s">
        <v>954</v>
      </c>
    </row>
    <row r="4574">
      <c r="Y4574" s="6" t="s">
        <v>954</v>
      </c>
    </row>
    <row r="4575">
      <c r="Y4575" s="6" t="s">
        <v>954</v>
      </c>
    </row>
    <row r="4576">
      <c r="Y4576" s="6" t="s">
        <v>954</v>
      </c>
    </row>
    <row r="4577">
      <c r="Y4577" s="6" t="s">
        <v>954</v>
      </c>
    </row>
    <row r="4578">
      <c r="Y4578" s="6" t="s">
        <v>954</v>
      </c>
    </row>
    <row r="4579">
      <c r="Y4579" s="6" t="s">
        <v>954</v>
      </c>
    </row>
    <row r="4580">
      <c r="Y4580" s="6" t="s">
        <v>954</v>
      </c>
    </row>
    <row r="4581">
      <c r="Y4581" s="6" t="s">
        <v>954</v>
      </c>
    </row>
    <row r="4582">
      <c r="Y4582" s="6" t="s">
        <v>954</v>
      </c>
    </row>
    <row r="4583">
      <c r="Y4583" s="6" t="s">
        <v>954</v>
      </c>
    </row>
    <row r="4584">
      <c r="Y4584" s="6" t="s">
        <v>954</v>
      </c>
    </row>
    <row r="4585">
      <c r="Y4585" s="6" t="s">
        <v>954</v>
      </c>
    </row>
    <row r="4586">
      <c r="Y4586" s="6" t="s">
        <v>954</v>
      </c>
    </row>
    <row r="4587">
      <c r="Y4587" s="6" t="s">
        <v>954</v>
      </c>
    </row>
    <row r="4588">
      <c r="Y4588" s="6" t="s">
        <v>954</v>
      </c>
    </row>
    <row r="4589">
      <c r="Y4589" s="6" t="s">
        <v>954</v>
      </c>
    </row>
    <row r="4590">
      <c r="Y4590" s="6" t="s">
        <v>954</v>
      </c>
    </row>
    <row r="4591">
      <c r="Y4591" s="6" t="s">
        <v>954</v>
      </c>
    </row>
    <row r="4592">
      <c r="Y4592" s="6" t="s">
        <v>954</v>
      </c>
    </row>
    <row r="4593">
      <c r="Y4593" s="6" t="s">
        <v>954</v>
      </c>
    </row>
    <row r="4594">
      <c r="Y4594" s="6" t="s">
        <v>954</v>
      </c>
    </row>
    <row r="4595">
      <c r="Y4595" s="6" t="s">
        <v>954</v>
      </c>
    </row>
    <row r="4596">
      <c r="Y4596" s="6" t="s">
        <v>954</v>
      </c>
    </row>
    <row r="4597">
      <c r="Y4597" s="6" t="s">
        <v>954</v>
      </c>
    </row>
    <row r="4598">
      <c r="Y4598" s="6" t="s">
        <v>954</v>
      </c>
    </row>
    <row r="4599">
      <c r="Y4599" s="6" t="s">
        <v>954</v>
      </c>
    </row>
    <row r="4600">
      <c r="Y4600" s="6" t="s">
        <v>954</v>
      </c>
    </row>
    <row r="4601">
      <c r="Y4601" s="6" t="s">
        <v>954</v>
      </c>
    </row>
    <row r="4602">
      <c r="Y4602" s="6" t="s">
        <v>954</v>
      </c>
    </row>
    <row r="4603">
      <c r="Y4603" s="6" t="s">
        <v>954</v>
      </c>
    </row>
    <row r="4604">
      <c r="Y4604" s="6" t="s">
        <v>954</v>
      </c>
    </row>
    <row r="4605">
      <c r="Y4605" s="6" t="s">
        <v>954</v>
      </c>
    </row>
    <row r="4606">
      <c r="Y4606" s="6" t="s">
        <v>954</v>
      </c>
    </row>
    <row r="4607">
      <c r="Y4607" s="6" t="s">
        <v>954</v>
      </c>
    </row>
    <row r="4608">
      <c r="Y4608" s="6" t="s">
        <v>954</v>
      </c>
    </row>
    <row r="4609">
      <c r="Y4609" s="6" t="s">
        <v>954</v>
      </c>
    </row>
    <row r="4610">
      <c r="Y4610" s="6" t="s">
        <v>954</v>
      </c>
    </row>
    <row r="4611">
      <c r="Y4611" s="6" t="s">
        <v>954</v>
      </c>
    </row>
    <row r="4612">
      <c r="Y4612" s="6" t="s">
        <v>954</v>
      </c>
    </row>
    <row r="4613">
      <c r="Y4613" s="6" t="s">
        <v>954</v>
      </c>
    </row>
    <row r="4614">
      <c r="Y4614" s="6" t="s">
        <v>954</v>
      </c>
    </row>
    <row r="4615">
      <c r="Y4615" s="6" t="s">
        <v>954</v>
      </c>
    </row>
    <row r="4616">
      <c r="Y4616" s="6" t="s">
        <v>954</v>
      </c>
    </row>
    <row r="4617">
      <c r="Y4617" s="6" t="s">
        <v>954</v>
      </c>
    </row>
    <row r="4618">
      <c r="Y4618" s="6" t="s">
        <v>954</v>
      </c>
    </row>
    <row r="4619">
      <c r="Y4619" s="6" t="s">
        <v>954</v>
      </c>
    </row>
    <row r="4620">
      <c r="Y4620" s="6" t="s">
        <v>954</v>
      </c>
    </row>
    <row r="4621">
      <c r="Y4621" s="6" t="s">
        <v>954</v>
      </c>
    </row>
    <row r="4622">
      <c r="Y4622" s="6" t="s">
        <v>954</v>
      </c>
    </row>
    <row r="4623">
      <c r="Y4623" s="6" t="s">
        <v>954</v>
      </c>
    </row>
    <row r="4624">
      <c r="Y4624" s="6" t="s">
        <v>954</v>
      </c>
    </row>
    <row r="4625">
      <c r="Y4625" s="6" t="s">
        <v>954</v>
      </c>
    </row>
    <row r="4626">
      <c r="Y4626" s="6" t="s">
        <v>954</v>
      </c>
    </row>
    <row r="4627">
      <c r="Y4627" s="6" t="s">
        <v>954</v>
      </c>
    </row>
    <row r="4628">
      <c r="Y4628" s="6" t="s">
        <v>954</v>
      </c>
    </row>
    <row r="4629">
      <c r="Y4629" s="6" t="s">
        <v>954</v>
      </c>
    </row>
    <row r="4630">
      <c r="Y4630" s="6" t="s">
        <v>954</v>
      </c>
    </row>
    <row r="4631">
      <c r="Y4631" s="6" t="s">
        <v>954</v>
      </c>
    </row>
    <row r="4632">
      <c r="Y4632" s="6" t="s">
        <v>954</v>
      </c>
    </row>
    <row r="4633">
      <c r="Y4633" s="6" t="s">
        <v>954</v>
      </c>
    </row>
    <row r="4634">
      <c r="Y4634" s="6" t="s">
        <v>954</v>
      </c>
    </row>
    <row r="4635">
      <c r="Y4635" s="6" t="s">
        <v>954</v>
      </c>
    </row>
    <row r="4636">
      <c r="Y4636" s="6" t="s">
        <v>954</v>
      </c>
    </row>
    <row r="4637">
      <c r="Y4637" s="6" t="s">
        <v>954</v>
      </c>
    </row>
    <row r="4638">
      <c r="Y4638" s="6" t="s">
        <v>954</v>
      </c>
    </row>
    <row r="4639">
      <c r="Y4639" s="6" t="s">
        <v>954</v>
      </c>
    </row>
    <row r="4640">
      <c r="Y4640" s="6" t="s">
        <v>954</v>
      </c>
    </row>
    <row r="4641">
      <c r="Y4641" s="6" t="s">
        <v>954</v>
      </c>
    </row>
    <row r="4642">
      <c r="Y4642" s="6" t="s">
        <v>954</v>
      </c>
    </row>
    <row r="4643">
      <c r="Y4643" s="6" t="s">
        <v>954</v>
      </c>
    </row>
    <row r="4644">
      <c r="Y4644" s="6" t="s">
        <v>954</v>
      </c>
    </row>
    <row r="4645">
      <c r="Y4645" s="6" t="s">
        <v>954</v>
      </c>
    </row>
    <row r="4646">
      <c r="Y4646" s="6" t="s">
        <v>954</v>
      </c>
    </row>
    <row r="4647">
      <c r="Y4647" s="6" t="s">
        <v>954</v>
      </c>
    </row>
    <row r="4648">
      <c r="Y4648" s="6" t="s">
        <v>954</v>
      </c>
    </row>
    <row r="4649">
      <c r="Y4649" s="6" t="s">
        <v>954</v>
      </c>
    </row>
    <row r="4650">
      <c r="Y4650" s="6" t="s">
        <v>954</v>
      </c>
    </row>
    <row r="4651">
      <c r="Y4651" s="6" t="s">
        <v>954</v>
      </c>
    </row>
    <row r="4652">
      <c r="Y4652" s="6" t="s">
        <v>954</v>
      </c>
    </row>
    <row r="4653">
      <c r="Y4653" s="6" t="s">
        <v>954</v>
      </c>
    </row>
    <row r="4654">
      <c r="Y4654" s="6" t="s">
        <v>954</v>
      </c>
    </row>
    <row r="4655">
      <c r="Y4655" s="6" t="s">
        <v>954</v>
      </c>
    </row>
    <row r="4656">
      <c r="Y4656" s="6" t="s">
        <v>954</v>
      </c>
    </row>
    <row r="4657">
      <c r="Y4657" s="6" t="s">
        <v>954</v>
      </c>
    </row>
    <row r="4658">
      <c r="Y4658" s="6" t="s">
        <v>954</v>
      </c>
    </row>
    <row r="4659">
      <c r="Y4659" s="6" t="s">
        <v>954</v>
      </c>
    </row>
    <row r="4660">
      <c r="Y4660" s="6" t="s">
        <v>954</v>
      </c>
    </row>
    <row r="4661">
      <c r="Y4661" s="6" t="s">
        <v>954</v>
      </c>
    </row>
    <row r="4662">
      <c r="Y4662" s="6" t="s">
        <v>954</v>
      </c>
    </row>
    <row r="4663">
      <c r="Y4663" s="6" t="s">
        <v>954</v>
      </c>
    </row>
    <row r="4664">
      <c r="Y4664" s="6" t="s">
        <v>954</v>
      </c>
    </row>
    <row r="4665">
      <c r="Y4665" s="6" t="s">
        <v>954</v>
      </c>
    </row>
    <row r="4666">
      <c r="Y4666" s="6" t="s">
        <v>954</v>
      </c>
    </row>
    <row r="4667">
      <c r="Y4667" s="6" t="s">
        <v>954</v>
      </c>
    </row>
    <row r="4668">
      <c r="Y4668" s="6" t="s">
        <v>954</v>
      </c>
    </row>
    <row r="4669">
      <c r="Y4669" s="6" t="s">
        <v>954</v>
      </c>
    </row>
    <row r="4670">
      <c r="Y4670" s="6" t="s">
        <v>954</v>
      </c>
    </row>
    <row r="4671">
      <c r="Y4671" s="6" t="s">
        <v>954</v>
      </c>
    </row>
    <row r="4672">
      <c r="Y4672" s="6" t="s">
        <v>954</v>
      </c>
    </row>
    <row r="4673">
      <c r="Y4673" s="6" t="s">
        <v>954</v>
      </c>
    </row>
    <row r="4674">
      <c r="Y4674" s="6" t="s">
        <v>954</v>
      </c>
    </row>
    <row r="4675">
      <c r="Y4675" s="6" t="s">
        <v>954</v>
      </c>
    </row>
    <row r="4676">
      <c r="Y4676" s="6" t="s">
        <v>954</v>
      </c>
    </row>
    <row r="4677">
      <c r="Y4677" s="6" t="s">
        <v>954</v>
      </c>
    </row>
    <row r="4678">
      <c r="Y4678" s="6" t="s">
        <v>954</v>
      </c>
    </row>
    <row r="4679">
      <c r="Y4679" s="6" t="s">
        <v>954</v>
      </c>
    </row>
    <row r="4680">
      <c r="Y4680" s="6" t="s">
        <v>954</v>
      </c>
    </row>
    <row r="4681">
      <c r="Y4681" s="6" t="s">
        <v>954</v>
      </c>
    </row>
    <row r="4682">
      <c r="Y4682" s="6" t="s">
        <v>954</v>
      </c>
    </row>
    <row r="4683">
      <c r="Y4683" s="6" t="s">
        <v>954</v>
      </c>
    </row>
    <row r="4684">
      <c r="Y4684" s="6" t="s">
        <v>954</v>
      </c>
    </row>
    <row r="4685">
      <c r="Y4685" s="6" t="s">
        <v>954</v>
      </c>
    </row>
    <row r="4686">
      <c r="Y4686" s="6" t="s">
        <v>954</v>
      </c>
    </row>
    <row r="4687">
      <c r="Y4687" s="6" t="s">
        <v>954</v>
      </c>
    </row>
    <row r="4688">
      <c r="Y4688" s="6" t="s">
        <v>954</v>
      </c>
    </row>
    <row r="4689">
      <c r="Y4689" s="6" t="s">
        <v>954</v>
      </c>
    </row>
    <row r="4690">
      <c r="Y4690" s="6" t="s">
        <v>954</v>
      </c>
    </row>
    <row r="4691">
      <c r="Y4691" s="6" t="s">
        <v>954</v>
      </c>
    </row>
    <row r="4692">
      <c r="Y4692" s="6" t="s">
        <v>954</v>
      </c>
    </row>
    <row r="4693">
      <c r="Y4693" s="6" t="s">
        <v>954</v>
      </c>
    </row>
    <row r="4694">
      <c r="Y4694" s="6" t="s">
        <v>954</v>
      </c>
    </row>
    <row r="4695">
      <c r="Y4695" s="6" t="s">
        <v>954</v>
      </c>
    </row>
    <row r="4696">
      <c r="Y4696" s="6" t="s">
        <v>954</v>
      </c>
    </row>
    <row r="4697">
      <c r="Y4697" s="6" t="s">
        <v>954</v>
      </c>
    </row>
    <row r="4698">
      <c r="Y4698" s="6" t="s">
        <v>954</v>
      </c>
    </row>
    <row r="4699">
      <c r="Y4699" s="6" t="s">
        <v>954</v>
      </c>
    </row>
    <row r="4700">
      <c r="Y4700" s="6" t="s">
        <v>954</v>
      </c>
    </row>
    <row r="4701">
      <c r="Y4701" s="6" t="s">
        <v>954</v>
      </c>
    </row>
    <row r="4702">
      <c r="Y4702" s="6" t="s">
        <v>954</v>
      </c>
    </row>
    <row r="4703">
      <c r="Y4703" s="6" t="s">
        <v>954</v>
      </c>
    </row>
    <row r="4704">
      <c r="Y4704" s="6" t="s">
        <v>954</v>
      </c>
    </row>
    <row r="4705">
      <c r="Y4705" s="6" t="s">
        <v>954</v>
      </c>
    </row>
    <row r="4706">
      <c r="Y4706" s="6" t="s">
        <v>954</v>
      </c>
    </row>
    <row r="4707">
      <c r="Y4707" s="6" t="s">
        <v>954</v>
      </c>
    </row>
    <row r="4708">
      <c r="Y4708" s="6" t="s">
        <v>954</v>
      </c>
    </row>
    <row r="4709">
      <c r="Y4709" s="6" t="s">
        <v>954</v>
      </c>
    </row>
    <row r="4710">
      <c r="Y4710" s="6" t="s">
        <v>954</v>
      </c>
    </row>
    <row r="4711">
      <c r="Y4711" s="6" t="s">
        <v>954</v>
      </c>
    </row>
    <row r="4712">
      <c r="Y4712" s="6" t="s">
        <v>954</v>
      </c>
    </row>
    <row r="4713">
      <c r="Y4713" s="6" t="s">
        <v>954</v>
      </c>
    </row>
    <row r="4714">
      <c r="Y4714" s="6" t="s">
        <v>954</v>
      </c>
    </row>
    <row r="4715">
      <c r="Y4715" s="6" t="s">
        <v>954</v>
      </c>
    </row>
    <row r="4716">
      <c r="Y4716" s="6" t="s">
        <v>954</v>
      </c>
    </row>
    <row r="4717">
      <c r="Y4717" s="6" t="s">
        <v>954</v>
      </c>
    </row>
    <row r="4718">
      <c r="Y4718" s="6" t="s">
        <v>954</v>
      </c>
    </row>
    <row r="4719">
      <c r="Y4719" s="6" t="s">
        <v>954</v>
      </c>
    </row>
    <row r="4720">
      <c r="Y4720" s="6" t="s">
        <v>954</v>
      </c>
    </row>
    <row r="4721">
      <c r="Y4721" s="6" t="s">
        <v>954</v>
      </c>
    </row>
    <row r="4722">
      <c r="Y4722" s="6" t="s">
        <v>954</v>
      </c>
    </row>
    <row r="4723">
      <c r="Y4723" s="6" t="s">
        <v>954</v>
      </c>
    </row>
    <row r="4724">
      <c r="Y4724" s="6" t="s">
        <v>954</v>
      </c>
    </row>
    <row r="4725">
      <c r="Y4725" s="6" t="s">
        <v>954</v>
      </c>
    </row>
    <row r="4726">
      <c r="Y4726" s="6" t="s">
        <v>954</v>
      </c>
    </row>
    <row r="4727">
      <c r="Y4727" s="6" t="s">
        <v>954</v>
      </c>
    </row>
    <row r="4728">
      <c r="Y4728" s="6" t="s">
        <v>954</v>
      </c>
    </row>
    <row r="4729">
      <c r="Y4729" s="6" t="s">
        <v>954</v>
      </c>
    </row>
    <row r="4730">
      <c r="Y4730" s="6" t="s">
        <v>954</v>
      </c>
    </row>
    <row r="4731">
      <c r="Y4731" s="6" t="s">
        <v>954</v>
      </c>
    </row>
    <row r="4732">
      <c r="Y4732" s="6" t="s">
        <v>954</v>
      </c>
    </row>
    <row r="4733">
      <c r="Y4733" s="6" t="s">
        <v>954</v>
      </c>
    </row>
    <row r="4734">
      <c r="Y4734" s="6" t="s">
        <v>954</v>
      </c>
    </row>
    <row r="4735">
      <c r="Y4735" s="6" t="s">
        <v>954</v>
      </c>
    </row>
    <row r="4736">
      <c r="Y4736" s="6" t="s">
        <v>954</v>
      </c>
    </row>
    <row r="4737">
      <c r="Y4737" s="6" t="s">
        <v>954</v>
      </c>
    </row>
    <row r="4738">
      <c r="Y4738" s="6" t="s">
        <v>954</v>
      </c>
    </row>
    <row r="4739">
      <c r="Y4739" s="6" t="s">
        <v>954</v>
      </c>
    </row>
    <row r="4740">
      <c r="Y4740" s="6" t="s">
        <v>954</v>
      </c>
    </row>
    <row r="4741">
      <c r="Y4741" s="6" t="s">
        <v>954</v>
      </c>
    </row>
    <row r="4742">
      <c r="Y4742" s="6" t="s">
        <v>954</v>
      </c>
    </row>
    <row r="4743">
      <c r="Y4743" s="6" t="s">
        <v>954</v>
      </c>
    </row>
    <row r="4744">
      <c r="Y4744" s="6" t="s">
        <v>954</v>
      </c>
    </row>
    <row r="4745">
      <c r="Y4745" s="6" t="s">
        <v>954</v>
      </c>
    </row>
    <row r="4746">
      <c r="Y4746" s="6" t="s">
        <v>954</v>
      </c>
    </row>
    <row r="4747">
      <c r="Y4747" s="6" t="s">
        <v>954</v>
      </c>
    </row>
    <row r="4748">
      <c r="Y4748" s="6" t="s">
        <v>954</v>
      </c>
    </row>
    <row r="4749">
      <c r="Y4749" s="6" t="s">
        <v>954</v>
      </c>
    </row>
    <row r="4750">
      <c r="Y4750" s="6" t="s">
        <v>954</v>
      </c>
    </row>
    <row r="4751">
      <c r="Y4751" s="6" t="s">
        <v>954</v>
      </c>
    </row>
    <row r="4752">
      <c r="Y4752" s="6" t="s">
        <v>954</v>
      </c>
    </row>
    <row r="4753">
      <c r="Y4753" s="6" t="s">
        <v>954</v>
      </c>
    </row>
    <row r="4754">
      <c r="Y4754" s="6" t="s">
        <v>954</v>
      </c>
    </row>
    <row r="4755">
      <c r="Y4755" s="6" t="s">
        <v>954</v>
      </c>
    </row>
    <row r="4756">
      <c r="Y4756" s="6" t="s">
        <v>954</v>
      </c>
    </row>
    <row r="4757">
      <c r="Y4757" s="6" t="s">
        <v>954</v>
      </c>
    </row>
    <row r="4758">
      <c r="Y4758" s="6" t="s">
        <v>954</v>
      </c>
    </row>
    <row r="4759">
      <c r="Y4759" s="6" t="s">
        <v>954</v>
      </c>
    </row>
    <row r="4760">
      <c r="Y4760" s="6" t="s">
        <v>954</v>
      </c>
    </row>
    <row r="4761">
      <c r="Y4761" s="6" t="s">
        <v>954</v>
      </c>
    </row>
    <row r="4762">
      <c r="Y4762" s="6" t="s">
        <v>954</v>
      </c>
    </row>
    <row r="4763">
      <c r="Y4763" s="6" t="s">
        <v>954</v>
      </c>
    </row>
    <row r="4764">
      <c r="Y4764" s="6" t="s">
        <v>954</v>
      </c>
    </row>
    <row r="4765">
      <c r="Y4765" s="6" t="s">
        <v>954</v>
      </c>
    </row>
    <row r="4766">
      <c r="Y4766" s="6" t="s">
        <v>954</v>
      </c>
    </row>
    <row r="4767">
      <c r="Y4767" s="6" t="s">
        <v>954</v>
      </c>
    </row>
    <row r="4768">
      <c r="Y4768" s="6" t="s">
        <v>954</v>
      </c>
    </row>
    <row r="4769">
      <c r="Y4769" s="6" t="s">
        <v>954</v>
      </c>
    </row>
    <row r="4770">
      <c r="Y4770" s="6" t="s">
        <v>954</v>
      </c>
    </row>
    <row r="4771">
      <c r="Y4771" s="6" t="s">
        <v>954</v>
      </c>
    </row>
    <row r="4772">
      <c r="Y4772" s="6" t="s">
        <v>954</v>
      </c>
    </row>
    <row r="4773">
      <c r="Y4773" s="6" t="s">
        <v>954</v>
      </c>
    </row>
    <row r="4774">
      <c r="Y4774" s="6" t="s">
        <v>954</v>
      </c>
    </row>
    <row r="4775">
      <c r="Y4775" s="6" t="s">
        <v>954</v>
      </c>
    </row>
    <row r="4776">
      <c r="Y4776" s="6" t="s">
        <v>954</v>
      </c>
    </row>
    <row r="4777">
      <c r="Y4777" s="6" t="s">
        <v>954</v>
      </c>
    </row>
    <row r="4778">
      <c r="Y4778" s="6" t="s">
        <v>954</v>
      </c>
    </row>
    <row r="4779">
      <c r="Y4779" s="6" t="s">
        <v>954</v>
      </c>
    </row>
    <row r="4780">
      <c r="Y4780" s="6" t="s">
        <v>954</v>
      </c>
    </row>
    <row r="4781">
      <c r="Y4781" s="6" t="s">
        <v>954</v>
      </c>
    </row>
    <row r="4782">
      <c r="Y4782" s="6" t="s">
        <v>954</v>
      </c>
    </row>
    <row r="4783">
      <c r="Y4783" s="6" t="s">
        <v>954</v>
      </c>
    </row>
    <row r="4784">
      <c r="Y4784" s="6" t="s">
        <v>954</v>
      </c>
    </row>
    <row r="4785">
      <c r="Y4785" s="6" t="s">
        <v>954</v>
      </c>
    </row>
    <row r="4786">
      <c r="Y4786" s="6" t="s">
        <v>954</v>
      </c>
    </row>
    <row r="4787">
      <c r="Y4787" s="6" t="s">
        <v>954</v>
      </c>
    </row>
    <row r="4788">
      <c r="Y4788" s="6" t="s">
        <v>954</v>
      </c>
    </row>
    <row r="4789">
      <c r="Y4789" s="6" t="s">
        <v>954</v>
      </c>
    </row>
    <row r="4790">
      <c r="Y4790" s="6" t="s">
        <v>954</v>
      </c>
    </row>
    <row r="4791">
      <c r="Y4791" s="6" t="s">
        <v>954</v>
      </c>
    </row>
    <row r="4792">
      <c r="Y4792" s="6" t="s">
        <v>954</v>
      </c>
    </row>
    <row r="4793">
      <c r="Y4793" s="6" t="s">
        <v>954</v>
      </c>
    </row>
    <row r="4794">
      <c r="Y4794" s="6" t="s">
        <v>954</v>
      </c>
    </row>
    <row r="4795">
      <c r="Y4795" s="6" t="s">
        <v>954</v>
      </c>
    </row>
    <row r="4796">
      <c r="Y4796" s="6" t="s">
        <v>954</v>
      </c>
    </row>
    <row r="4797">
      <c r="Y4797" s="6" t="s">
        <v>954</v>
      </c>
    </row>
    <row r="4798">
      <c r="Y4798" s="6" t="s">
        <v>954</v>
      </c>
    </row>
    <row r="4799">
      <c r="Y4799" s="6" t="s">
        <v>954</v>
      </c>
    </row>
    <row r="4800">
      <c r="Y4800" s="6" t="s">
        <v>954</v>
      </c>
    </row>
    <row r="4801">
      <c r="Y4801" s="6" t="s">
        <v>954</v>
      </c>
    </row>
    <row r="4802">
      <c r="Y4802" s="6" t="s">
        <v>954</v>
      </c>
    </row>
    <row r="4803">
      <c r="Y4803" s="6" t="s">
        <v>954</v>
      </c>
    </row>
    <row r="4804">
      <c r="Y4804" s="6" t="s">
        <v>954</v>
      </c>
    </row>
    <row r="4805">
      <c r="Y4805" s="6" t="s">
        <v>954</v>
      </c>
    </row>
    <row r="4806">
      <c r="Y4806" s="6" t="s">
        <v>954</v>
      </c>
    </row>
    <row r="4807">
      <c r="Y4807" s="6" t="s">
        <v>954</v>
      </c>
    </row>
    <row r="4808">
      <c r="Y4808" s="6" t="s">
        <v>954</v>
      </c>
    </row>
    <row r="4809">
      <c r="Y4809" s="6" t="s">
        <v>954</v>
      </c>
    </row>
    <row r="4810">
      <c r="Y4810" s="6" t="s">
        <v>954</v>
      </c>
    </row>
    <row r="4811">
      <c r="Y4811" s="6" t="s">
        <v>954</v>
      </c>
    </row>
    <row r="4812">
      <c r="Y4812" s="6" t="s">
        <v>954</v>
      </c>
    </row>
    <row r="4813">
      <c r="Y4813" s="6" t="s">
        <v>954</v>
      </c>
    </row>
    <row r="4814">
      <c r="Y4814" s="6" t="s">
        <v>954</v>
      </c>
    </row>
    <row r="4815">
      <c r="Y4815" s="6" t="s">
        <v>954</v>
      </c>
    </row>
    <row r="4816">
      <c r="Y4816" s="6" t="s">
        <v>954</v>
      </c>
    </row>
    <row r="4817">
      <c r="Y4817" s="6" t="s">
        <v>954</v>
      </c>
    </row>
    <row r="4818">
      <c r="Y4818" s="6" t="s">
        <v>954</v>
      </c>
    </row>
    <row r="4819">
      <c r="Y4819" s="6" t="s">
        <v>954</v>
      </c>
    </row>
    <row r="4820">
      <c r="Y4820" s="6" t="s">
        <v>954</v>
      </c>
    </row>
    <row r="4821">
      <c r="Y4821" s="6" t="s">
        <v>954</v>
      </c>
    </row>
    <row r="4822">
      <c r="Y4822" s="6" t="s">
        <v>954</v>
      </c>
    </row>
    <row r="4823">
      <c r="Y4823" s="6" t="s">
        <v>954</v>
      </c>
    </row>
    <row r="4824">
      <c r="Y4824" s="6" t="s">
        <v>954</v>
      </c>
    </row>
    <row r="4825">
      <c r="Y4825" s="6" t="s">
        <v>954</v>
      </c>
    </row>
    <row r="4826">
      <c r="Y4826" s="6" t="s">
        <v>954</v>
      </c>
    </row>
    <row r="4827">
      <c r="Y4827" s="6" t="s">
        <v>954</v>
      </c>
    </row>
    <row r="4828">
      <c r="Y4828" s="6" t="s">
        <v>954</v>
      </c>
    </row>
    <row r="4829">
      <c r="Y4829" s="6" t="s">
        <v>954</v>
      </c>
    </row>
    <row r="4830">
      <c r="Y4830" s="6" t="s">
        <v>954</v>
      </c>
    </row>
    <row r="4831">
      <c r="Y4831" s="6" t="s">
        <v>954</v>
      </c>
    </row>
    <row r="4832">
      <c r="Y4832" s="6" t="s">
        <v>954</v>
      </c>
    </row>
    <row r="4833">
      <c r="Y4833" s="6" t="s">
        <v>954</v>
      </c>
    </row>
    <row r="4834">
      <c r="Y4834" s="6" t="s">
        <v>954</v>
      </c>
    </row>
    <row r="4835">
      <c r="Y4835" s="6" t="s">
        <v>954</v>
      </c>
    </row>
    <row r="4836">
      <c r="Y4836" s="6" t="s">
        <v>954</v>
      </c>
    </row>
    <row r="4837">
      <c r="Y4837" s="6" t="s">
        <v>954</v>
      </c>
    </row>
    <row r="4838">
      <c r="Y4838" s="6" t="s">
        <v>954</v>
      </c>
    </row>
    <row r="4839">
      <c r="Y4839" s="6" t="s">
        <v>954</v>
      </c>
    </row>
    <row r="4840">
      <c r="Y4840" s="6" t="s">
        <v>954</v>
      </c>
    </row>
    <row r="4841">
      <c r="Y4841" s="6" t="s">
        <v>954</v>
      </c>
    </row>
    <row r="4842">
      <c r="Y4842" s="6" t="s">
        <v>954</v>
      </c>
    </row>
    <row r="4843">
      <c r="Y4843" s="6" t="s">
        <v>954</v>
      </c>
    </row>
    <row r="4844">
      <c r="Y4844" s="6" t="s">
        <v>954</v>
      </c>
    </row>
    <row r="4845">
      <c r="Y4845" s="6" t="s">
        <v>954</v>
      </c>
    </row>
    <row r="4846">
      <c r="Y4846" s="6" t="s">
        <v>954</v>
      </c>
    </row>
    <row r="4847">
      <c r="Y4847" s="6" t="s">
        <v>954</v>
      </c>
    </row>
    <row r="4848">
      <c r="Y4848" s="6" t="s">
        <v>954</v>
      </c>
    </row>
    <row r="4849">
      <c r="Y4849" s="6" t="s">
        <v>954</v>
      </c>
    </row>
    <row r="4850">
      <c r="Y4850" s="6" t="s">
        <v>954</v>
      </c>
    </row>
    <row r="4851">
      <c r="Y4851" s="6" t="s">
        <v>954</v>
      </c>
    </row>
    <row r="4852">
      <c r="Y4852" s="6" t="s">
        <v>954</v>
      </c>
    </row>
    <row r="4853">
      <c r="Y4853" s="6" t="s">
        <v>954</v>
      </c>
    </row>
    <row r="4854">
      <c r="Y4854" s="6" t="s">
        <v>954</v>
      </c>
    </row>
    <row r="4855">
      <c r="Y4855" s="6" t="s">
        <v>954</v>
      </c>
    </row>
    <row r="4856">
      <c r="Y4856" s="6" t="s">
        <v>954</v>
      </c>
    </row>
    <row r="4857">
      <c r="Y4857" s="6" t="s">
        <v>954</v>
      </c>
    </row>
    <row r="4858">
      <c r="Y4858" s="6" t="s">
        <v>954</v>
      </c>
    </row>
    <row r="4859">
      <c r="Y4859" s="6" t="s">
        <v>954</v>
      </c>
    </row>
    <row r="4860">
      <c r="Y4860" s="6" t="s">
        <v>954</v>
      </c>
    </row>
    <row r="4861">
      <c r="Y4861" s="6" t="s">
        <v>954</v>
      </c>
    </row>
    <row r="4862">
      <c r="Y4862" s="6" t="s">
        <v>954</v>
      </c>
    </row>
    <row r="4863">
      <c r="Y4863" s="6" t="s">
        <v>954</v>
      </c>
    </row>
    <row r="4864">
      <c r="Y4864" s="6" t="s">
        <v>954</v>
      </c>
    </row>
    <row r="4865">
      <c r="Y4865" s="6" t="s">
        <v>954</v>
      </c>
    </row>
    <row r="4866">
      <c r="Y4866" s="6" t="s">
        <v>954</v>
      </c>
    </row>
    <row r="4867">
      <c r="Y4867" s="6" t="s">
        <v>954</v>
      </c>
    </row>
    <row r="4868">
      <c r="Y4868" s="6" t="s">
        <v>954</v>
      </c>
    </row>
    <row r="4869">
      <c r="Y4869" s="6" t="s">
        <v>954</v>
      </c>
    </row>
    <row r="4870">
      <c r="Y4870" s="6" t="s">
        <v>954</v>
      </c>
    </row>
    <row r="4871">
      <c r="Y4871" s="6" t="s">
        <v>954</v>
      </c>
    </row>
    <row r="4872">
      <c r="Y4872" s="6" t="s">
        <v>954</v>
      </c>
    </row>
    <row r="4873">
      <c r="Y4873" s="6" t="s">
        <v>954</v>
      </c>
    </row>
    <row r="4874">
      <c r="Y4874" s="6" t="s">
        <v>954</v>
      </c>
    </row>
    <row r="4875">
      <c r="Y4875" s="6" t="s">
        <v>954</v>
      </c>
    </row>
    <row r="4876">
      <c r="Y4876" s="6" t="s">
        <v>954</v>
      </c>
    </row>
    <row r="4877">
      <c r="Y4877" s="6" t="s">
        <v>954</v>
      </c>
    </row>
    <row r="4878">
      <c r="Y4878" s="6" t="s">
        <v>954</v>
      </c>
    </row>
    <row r="4879">
      <c r="Y4879" s="6" t="s">
        <v>954</v>
      </c>
    </row>
    <row r="4880">
      <c r="Y4880" s="6" t="s">
        <v>954</v>
      </c>
    </row>
    <row r="4881">
      <c r="Y4881" s="6" t="s">
        <v>954</v>
      </c>
    </row>
    <row r="4882">
      <c r="Y4882" s="6" t="s">
        <v>954</v>
      </c>
    </row>
    <row r="4883">
      <c r="Y4883" s="6" t="s">
        <v>954</v>
      </c>
    </row>
    <row r="4884">
      <c r="Y4884" s="6" t="s">
        <v>954</v>
      </c>
    </row>
    <row r="4885">
      <c r="Y4885" s="6" t="s">
        <v>954</v>
      </c>
    </row>
    <row r="4886">
      <c r="Y4886" s="6" t="s">
        <v>954</v>
      </c>
    </row>
    <row r="4887">
      <c r="Y4887" s="6" t="s">
        <v>954</v>
      </c>
    </row>
    <row r="4888">
      <c r="Y4888" s="6" t="s">
        <v>954</v>
      </c>
    </row>
    <row r="4889">
      <c r="Y4889" s="6" t="s">
        <v>954</v>
      </c>
    </row>
    <row r="4890">
      <c r="Y4890" s="6" t="s">
        <v>954</v>
      </c>
    </row>
    <row r="4891">
      <c r="Y4891" s="6" t="s">
        <v>954</v>
      </c>
    </row>
    <row r="4892">
      <c r="Y4892" s="6" t="s">
        <v>954</v>
      </c>
    </row>
    <row r="4893">
      <c r="Y4893" s="6" t="s">
        <v>954</v>
      </c>
    </row>
    <row r="4894">
      <c r="Y4894" s="6" t="s">
        <v>954</v>
      </c>
    </row>
    <row r="4895">
      <c r="Y4895" s="6" t="s">
        <v>954</v>
      </c>
    </row>
    <row r="4896">
      <c r="Y4896" s="6" t="s">
        <v>954</v>
      </c>
    </row>
    <row r="4897">
      <c r="Y4897" s="6" t="s">
        <v>954</v>
      </c>
    </row>
    <row r="4898">
      <c r="Y4898" s="6" t="s">
        <v>954</v>
      </c>
    </row>
    <row r="4899">
      <c r="Y4899" s="6" t="s">
        <v>954</v>
      </c>
    </row>
    <row r="4900">
      <c r="Y4900" s="6" t="s">
        <v>954</v>
      </c>
    </row>
    <row r="4901">
      <c r="Y4901" s="6" t="s">
        <v>954</v>
      </c>
    </row>
    <row r="4902">
      <c r="Y4902" s="6" t="s">
        <v>954</v>
      </c>
    </row>
    <row r="4903">
      <c r="Y4903" s="6" t="s">
        <v>954</v>
      </c>
    </row>
    <row r="4904">
      <c r="Y4904" s="6" t="s">
        <v>954</v>
      </c>
    </row>
    <row r="4905">
      <c r="Y4905" s="6" t="s">
        <v>954</v>
      </c>
    </row>
    <row r="4906">
      <c r="Y4906" s="6" t="s">
        <v>954</v>
      </c>
    </row>
    <row r="4907">
      <c r="Y4907" s="6" t="s">
        <v>954</v>
      </c>
    </row>
    <row r="4908">
      <c r="Y4908" s="6" t="s">
        <v>954</v>
      </c>
    </row>
    <row r="4909">
      <c r="Y4909" s="6" t="s">
        <v>954</v>
      </c>
    </row>
    <row r="4910">
      <c r="Y4910" s="6" t="s">
        <v>954</v>
      </c>
    </row>
    <row r="4911">
      <c r="Y4911" s="6" t="s">
        <v>954</v>
      </c>
    </row>
    <row r="4912">
      <c r="Y4912" s="6" t="s">
        <v>954</v>
      </c>
    </row>
    <row r="4913">
      <c r="Y4913" s="6" t="s">
        <v>954</v>
      </c>
    </row>
    <row r="4914">
      <c r="Y4914" s="6" t="s">
        <v>954</v>
      </c>
    </row>
    <row r="4915">
      <c r="Y4915" s="6" t="s">
        <v>954</v>
      </c>
    </row>
    <row r="4916">
      <c r="Y4916" s="6" t="s">
        <v>954</v>
      </c>
    </row>
    <row r="4917">
      <c r="Y4917" s="6" t="s">
        <v>954</v>
      </c>
    </row>
    <row r="4918">
      <c r="Y4918" s="6" t="s">
        <v>954</v>
      </c>
    </row>
    <row r="4919">
      <c r="Y4919" s="6" t="s">
        <v>954</v>
      </c>
    </row>
    <row r="4920">
      <c r="Y4920" s="6" t="s">
        <v>954</v>
      </c>
    </row>
    <row r="4921">
      <c r="Y4921" s="6" t="s">
        <v>954</v>
      </c>
    </row>
    <row r="4922">
      <c r="Y4922" s="6" t="s">
        <v>954</v>
      </c>
    </row>
    <row r="4923">
      <c r="Y4923" s="6" t="s">
        <v>954</v>
      </c>
    </row>
    <row r="4924">
      <c r="Y4924" s="6" t="s">
        <v>954</v>
      </c>
    </row>
    <row r="4925">
      <c r="Y4925" s="6" t="s">
        <v>954</v>
      </c>
    </row>
    <row r="4926">
      <c r="Y4926" s="6" t="s">
        <v>954</v>
      </c>
    </row>
    <row r="4927">
      <c r="Y4927" s="6" t="s">
        <v>954</v>
      </c>
    </row>
    <row r="4928">
      <c r="Y4928" s="6" t="s">
        <v>954</v>
      </c>
    </row>
    <row r="4929">
      <c r="Y4929" s="6" t="s">
        <v>954</v>
      </c>
    </row>
    <row r="4930">
      <c r="Y4930" s="6" t="s">
        <v>954</v>
      </c>
    </row>
    <row r="4931">
      <c r="Y4931" s="6" t="s">
        <v>954</v>
      </c>
    </row>
    <row r="4932">
      <c r="Y4932" s="6" t="s">
        <v>954</v>
      </c>
    </row>
    <row r="4933">
      <c r="Y4933" s="6" t="s">
        <v>954</v>
      </c>
    </row>
    <row r="4934">
      <c r="Y4934" s="6" t="s">
        <v>954</v>
      </c>
    </row>
    <row r="4935">
      <c r="Y4935" s="6" t="s">
        <v>954</v>
      </c>
    </row>
    <row r="4936">
      <c r="Y4936" s="6" t="s">
        <v>954</v>
      </c>
    </row>
    <row r="4937">
      <c r="Y4937" s="6" t="s">
        <v>954</v>
      </c>
    </row>
    <row r="4938">
      <c r="Y4938" s="6" t="s">
        <v>954</v>
      </c>
    </row>
    <row r="4939">
      <c r="Y4939" s="6" t="s">
        <v>954</v>
      </c>
    </row>
    <row r="4940">
      <c r="Y4940" s="6" t="s">
        <v>954</v>
      </c>
    </row>
    <row r="4941">
      <c r="Y4941" s="6" t="s">
        <v>954</v>
      </c>
    </row>
    <row r="4942">
      <c r="Y4942" s="6" t="s">
        <v>954</v>
      </c>
    </row>
    <row r="4943">
      <c r="Y4943" s="6" t="s">
        <v>954</v>
      </c>
    </row>
    <row r="4944">
      <c r="Y4944" s="6" t="s">
        <v>954</v>
      </c>
    </row>
    <row r="4945">
      <c r="Y4945" s="6" t="s">
        <v>954</v>
      </c>
    </row>
    <row r="4946">
      <c r="Y4946" s="6" t="s">
        <v>954</v>
      </c>
    </row>
    <row r="4947">
      <c r="Y4947" s="6" t="s">
        <v>954</v>
      </c>
    </row>
    <row r="4948">
      <c r="Y4948" s="6" t="s">
        <v>954</v>
      </c>
    </row>
    <row r="4949">
      <c r="Y4949" s="6" t="s">
        <v>954</v>
      </c>
    </row>
    <row r="4950">
      <c r="Y4950" s="6" t="s">
        <v>954</v>
      </c>
    </row>
    <row r="4951">
      <c r="Y4951" s="6" t="s">
        <v>954</v>
      </c>
    </row>
    <row r="4952">
      <c r="Y4952" s="6" t="s">
        <v>954</v>
      </c>
    </row>
    <row r="4953">
      <c r="Y4953" s="6" t="s">
        <v>954</v>
      </c>
    </row>
    <row r="4954">
      <c r="Y4954" s="6" t="s">
        <v>954</v>
      </c>
    </row>
    <row r="4955">
      <c r="Y4955" s="6" t="s">
        <v>954</v>
      </c>
    </row>
    <row r="4956">
      <c r="Y4956" s="6" t="s">
        <v>954</v>
      </c>
    </row>
    <row r="4957">
      <c r="Y4957" s="6" t="s">
        <v>954</v>
      </c>
    </row>
    <row r="4958">
      <c r="Y4958" s="6" t="s">
        <v>954</v>
      </c>
    </row>
    <row r="4959">
      <c r="Y4959" s="6" t="s">
        <v>954</v>
      </c>
    </row>
    <row r="4960">
      <c r="Y4960" s="6" t="s">
        <v>954</v>
      </c>
    </row>
    <row r="4961">
      <c r="Y4961" s="6" t="s">
        <v>954</v>
      </c>
    </row>
    <row r="4962">
      <c r="Y4962" s="6" t="s">
        <v>954</v>
      </c>
    </row>
    <row r="4963">
      <c r="Y4963" s="6" t="s">
        <v>954</v>
      </c>
    </row>
    <row r="4964">
      <c r="Y4964" s="6" t="s">
        <v>954</v>
      </c>
    </row>
    <row r="4965">
      <c r="Y4965" s="6" t="s">
        <v>954</v>
      </c>
    </row>
    <row r="4966">
      <c r="Y4966" s="6" t="s">
        <v>954</v>
      </c>
    </row>
    <row r="4967">
      <c r="Y4967" s="6" t="s">
        <v>954</v>
      </c>
    </row>
    <row r="4968">
      <c r="Y4968" s="6" t="s">
        <v>954</v>
      </c>
    </row>
    <row r="4969">
      <c r="Y4969" s="6" t="s">
        <v>954</v>
      </c>
    </row>
    <row r="4970">
      <c r="Y4970" s="6" t="s">
        <v>954</v>
      </c>
    </row>
    <row r="4971">
      <c r="Y4971" s="6" t="s">
        <v>954</v>
      </c>
    </row>
    <row r="4972">
      <c r="Y4972" s="6" t="s">
        <v>954</v>
      </c>
    </row>
    <row r="4973">
      <c r="Y4973" s="6" t="s">
        <v>954</v>
      </c>
    </row>
    <row r="4974">
      <c r="Y4974" s="6" t="s">
        <v>954</v>
      </c>
    </row>
    <row r="4975">
      <c r="Y4975" s="6" t="s">
        <v>954</v>
      </c>
    </row>
    <row r="4976">
      <c r="Y4976" s="6" t="s">
        <v>954</v>
      </c>
    </row>
    <row r="4977">
      <c r="Y4977" s="6" t="s">
        <v>954</v>
      </c>
    </row>
    <row r="4978">
      <c r="Y4978" s="6" t="s">
        <v>954</v>
      </c>
    </row>
    <row r="4979">
      <c r="Y4979" s="6" t="s">
        <v>954</v>
      </c>
    </row>
    <row r="4980">
      <c r="Y4980" s="6" t="s">
        <v>954</v>
      </c>
    </row>
    <row r="4981">
      <c r="Y4981" s="6" t="s">
        <v>954</v>
      </c>
    </row>
    <row r="4982">
      <c r="Y4982" s="6" t="s">
        <v>954</v>
      </c>
    </row>
    <row r="4983">
      <c r="Y4983" s="6" t="s">
        <v>954</v>
      </c>
    </row>
    <row r="4984">
      <c r="Y4984" s="6" t="s">
        <v>954</v>
      </c>
    </row>
    <row r="4985">
      <c r="Y4985" s="6" t="s">
        <v>954</v>
      </c>
    </row>
    <row r="4986">
      <c r="Y4986" s="6" t="s">
        <v>954</v>
      </c>
    </row>
    <row r="4987">
      <c r="Y4987" s="6" t="s">
        <v>954</v>
      </c>
    </row>
    <row r="4988">
      <c r="Y4988" s="6" t="s">
        <v>954</v>
      </c>
    </row>
    <row r="4989">
      <c r="Y4989" s="6" t="s">
        <v>954</v>
      </c>
    </row>
    <row r="4990">
      <c r="Y4990" s="6" t="s">
        <v>954</v>
      </c>
    </row>
    <row r="4991">
      <c r="Y4991" s="6" t="s">
        <v>954</v>
      </c>
    </row>
    <row r="4992">
      <c r="Y4992" s="6" t="s">
        <v>954</v>
      </c>
    </row>
    <row r="4993">
      <c r="Y4993" s="6" t="s">
        <v>954</v>
      </c>
    </row>
    <row r="4994">
      <c r="Y4994" s="6" t="s">
        <v>954</v>
      </c>
    </row>
    <row r="4995">
      <c r="Y4995" s="6" t="s">
        <v>954</v>
      </c>
    </row>
    <row r="4996">
      <c r="Y4996" s="6" t="s">
        <v>954</v>
      </c>
    </row>
    <row r="4997">
      <c r="Y4997" s="6" t="s">
        <v>954</v>
      </c>
    </row>
    <row r="4998">
      <c r="Y4998" s="6" t="s">
        <v>954</v>
      </c>
    </row>
    <row r="4999">
      <c r="Y4999" s="6" t="s">
        <v>954</v>
      </c>
    </row>
    <row r="5000">
      <c r="Y5000" s="6" t="s">
        <v>954</v>
      </c>
    </row>
    <row r="5001">
      <c r="Y5001" s="6" t="s">
        <v>954</v>
      </c>
    </row>
    <row r="5002">
      <c r="Y5002" s="6" t="s">
        <v>954</v>
      </c>
    </row>
    <row r="5003">
      <c r="Y5003" s="6" t="s">
        <v>954</v>
      </c>
    </row>
    <row r="5004">
      <c r="Y5004" s="6" t="s">
        <v>954</v>
      </c>
    </row>
    <row r="5005">
      <c r="Y5005" s="6" t="s">
        <v>954</v>
      </c>
    </row>
    <row r="5006">
      <c r="Y5006" s="6" t="s">
        <v>954</v>
      </c>
    </row>
    <row r="5007">
      <c r="Y5007" s="6" t="s">
        <v>954</v>
      </c>
    </row>
    <row r="5008">
      <c r="Y5008" s="6" t="s">
        <v>954</v>
      </c>
    </row>
    <row r="5009">
      <c r="Y5009" s="6" t="s">
        <v>954</v>
      </c>
    </row>
    <row r="5010">
      <c r="Y5010" s="6" t="s">
        <v>954</v>
      </c>
    </row>
    <row r="5011">
      <c r="Y5011" s="6" t="s">
        <v>954</v>
      </c>
    </row>
    <row r="5012">
      <c r="Y5012" s="6" t="s">
        <v>954</v>
      </c>
    </row>
    <row r="5013">
      <c r="Y5013" s="6" t="s">
        <v>954</v>
      </c>
    </row>
    <row r="5014">
      <c r="Y5014" s="6" t="s">
        <v>954</v>
      </c>
    </row>
    <row r="5015">
      <c r="Y5015" s="6" t="s">
        <v>954</v>
      </c>
    </row>
    <row r="5016">
      <c r="Y5016" s="6" t="s">
        <v>954</v>
      </c>
    </row>
    <row r="5017">
      <c r="Y5017" s="6" t="s">
        <v>954</v>
      </c>
    </row>
    <row r="5018">
      <c r="Y5018" s="6" t="s">
        <v>954</v>
      </c>
    </row>
    <row r="5019">
      <c r="Y5019" s="6" t="s">
        <v>954</v>
      </c>
    </row>
    <row r="5020">
      <c r="Y5020" s="6" t="s">
        <v>954</v>
      </c>
    </row>
    <row r="5021">
      <c r="Y5021" s="6" t="s">
        <v>954</v>
      </c>
    </row>
    <row r="5022">
      <c r="Y5022" s="6" t="s">
        <v>954</v>
      </c>
    </row>
    <row r="5023">
      <c r="Y5023" s="6" t="s">
        <v>954</v>
      </c>
    </row>
    <row r="5024">
      <c r="Y5024" s="6" t="s">
        <v>954</v>
      </c>
    </row>
    <row r="5025">
      <c r="Y5025" s="6" t="s">
        <v>954</v>
      </c>
    </row>
    <row r="5026">
      <c r="Y5026" s="6" t="s">
        <v>954</v>
      </c>
    </row>
    <row r="5027">
      <c r="Y5027" s="6" t="s">
        <v>954</v>
      </c>
    </row>
    <row r="5028">
      <c r="Y5028" s="6" t="s">
        <v>954</v>
      </c>
    </row>
    <row r="5029">
      <c r="Y5029" s="6" t="s">
        <v>954</v>
      </c>
    </row>
    <row r="5030">
      <c r="Y5030" s="6" t="s">
        <v>954</v>
      </c>
    </row>
    <row r="5031">
      <c r="Y5031" s="6" t="s">
        <v>954</v>
      </c>
    </row>
    <row r="5032">
      <c r="Y5032" s="6" t="s">
        <v>954</v>
      </c>
    </row>
    <row r="5033">
      <c r="Y5033" s="6" t="s">
        <v>954</v>
      </c>
    </row>
    <row r="5034">
      <c r="Y5034" s="6" t="s">
        <v>954</v>
      </c>
    </row>
    <row r="5035">
      <c r="Y5035" s="6" t="s">
        <v>954</v>
      </c>
    </row>
    <row r="5036">
      <c r="Y5036" s="6" t="s">
        <v>954</v>
      </c>
    </row>
    <row r="5037">
      <c r="Y5037" s="6" t="s">
        <v>954</v>
      </c>
    </row>
    <row r="5038">
      <c r="Y5038" s="6" t="s">
        <v>954</v>
      </c>
    </row>
    <row r="5039">
      <c r="Y5039" s="6" t="s">
        <v>954</v>
      </c>
    </row>
    <row r="5040">
      <c r="Y5040" s="6" t="s">
        <v>954</v>
      </c>
    </row>
    <row r="5041">
      <c r="Y5041" s="6" t="s">
        <v>954</v>
      </c>
    </row>
    <row r="5042">
      <c r="Y5042" s="6" t="s">
        <v>954</v>
      </c>
    </row>
    <row r="5043">
      <c r="Y5043" s="6" t="s">
        <v>954</v>
      </c>
    </row>
    <row r="5044">
      <c r="Y5044" s="6" t="s">
        <v>954</v>
      </c>
    </row>
    <row r="5045">
      <c r="Y5045" s="6" t="s">
        <v>954</v>
      </c>
    </row>
    <row r="5046">
      <c r="Y5046" s="6" t="s">
        <v>954</v>
      </c>
    </row>
    <row r="5047">
      <c r="Y5047" s="6" t="s">
        <v>954</v>
      </c>
    </row>
    <row r="5048">
      <c r="Y5048" s="6" t="s">
        <v>954</v>
      </c>
    </row>
    <row r="5049">
      <c r="Y5049" s="6" t="s">
        <v>954</v>
      </c>
    </row>
    <row r="5050">
      <c r="Y5050" s="6" t="s">
        <v>954</v>
      </c>
    </row>
    <row r="5051">
      <c r="Y5051" s="6" t="s">
        <v>954</v>
      </c>
    </row>
    <row r="5052">
      <c r="Y5052" s="6" t="s">
        <v>954</v>
      </c>
    </row>
    <row r="5053">
      <c r="Y5053" s="6" t="s">
        <v>954</v>
      </c>
    </row>
    <row r="5054">
      <c r="Y5054" s="6" t="s">
        <v>954</v>
      </c>
    </row>
    <row r="5055">
      <c r="Y5055" s="6" t="s">
        <v>954</v>
      </c>
    </row>
    <row r="5056">
      <c r="Y5056" s="6" t="s">
        <v>954</v>
      </c>
    </row>
    <row r="5057">
      <c r="Y5057" s="6" t="s">
        <v>954</v>
      </c>
    </row>
    <row r="5058">
      <c r="Y5058" s="6" t="s">
        <v>954</v>
      </c>
    </row>
    <row r="5059">
      <c r="Y5059" s="6" t="s">
        <v>954</v>
      </c>
    </row>
    <row r="5060">
      <c r="Y5060" s="6" t="s">
        <v>954</v>
      </c>
    </row>
    <row r="5061">
      <c r="Y5061" s="6" t="s">
        <v>954</v>
      </c>
    </row>
    <row r="5062">
      <c r="Y5062" s="6" t="s">
        <v>954</v>
      </c>
    </row>
    <row r="5063">
      <c r="Y5063" s="6" t="s">
        <v>954</v>
      </c>
    </row>
    <row r="5064">
      <c r="Y5064" s="6" t="s">
        <v>954</v>
      </c>
    </row>
    <row r="5065">
      <c r="Y5065" s="6" t="s">
        <v>954</v>
      </c>
    </row>
    <row r="5066">
      <c r="Y5066" s="6" t="s">
        <v>954</v>
      </c>
    </row>
    <row r="5067">
      <c r="Y5067" s="6" t="s">
        <v>954</v>
      </c>
    </row>
    <row r="5068">
      <c r="Y5068" s="6" t="s">
        <v>954</v>
      </c>
    </row>
    <row r="5069">
      <c r="Y5069" s="6" t="s">
        <v>954</v>
      </c>
    </row>
    <row r="5070">
      <c r="Y5070" s="6" t="s">
        <v>954</v>
      </c>
    </row>
    <row r="5071">
      <c r="Y5071" s="6" t="s">
        <v>954</v>
      </c>
    </row>
    <row r="5072">
      <c r="Y5072" s="6" t="s">
        <v>954</v>
      </c>
    </row>
    <row r="5073">
      <c r="Y5073" s="6" t="s">
        <v>954</v>
      </c>
    </row>
    <row r="5074">
      <c r="Y5074" s="6" t="s">
        <v>954</v>
      </c>
    </row>
    <row r="5075">
      <c r="Y5075" s="6" t="s">
        <v>954</v>
      </c>
    </row>
    <row r="5076">
      <c r="Y5076" s="6" t="s">
        <v>954</v>
      </c>
    </row>
    <row r="5077">
      <c r="Y5077" s="6" t="s">
        <v>954</v>
      </c>
    </row>
    <row r="5078">
      <c r="Y5078" s="6" t="s">
        <v>954</v>
      </c>
    </row>
    <row r="5079">
      <c r="Y5079" s="6" t="s">
        <v>954</v>
      </c>
    </row>
    <row r="5080">
      <c r="Y5080" s="6" t="s">
        <v>954</v>
      </c>
    </row>
    <row r="5081">
      <c r="Y5081" s="6" t="s">
        <v>954</v>
      </c>
    </row>
    <row r="5082">
      <c r="Y5082" s="6" t="s">
        <v>954</v>
      </c>
    </row>
    <row r="5083">
      <c r="Y5083" s="6" t="s">
        <v>954</v>
      </c>
    </row>
    <row r="5084">
      <c r="Y5084" s="6" t="s">
        <v>954</v>
      </c>
    </row>
    <row r="5085">
      <c r="Y5085" s="6" t="s">
        <v>954</v>
      </c>
    </row>
    <row r="5086">
      <c r="Y5086" s="6" t="s">
        <v>954</v>
      </c>
    </row>
    <row r="5087">
      <c r="Y5087" s="6" t="s">
        <v>954</v>
      </c>
    </row>
    <row r="5088">
      <c r="Y5088" s="6" t="s">
        <v>954</v>
      </c>
    </row>
    <row r="5089">
      <c r="Y5089" s="6" t="s">
        <v>954</v>
      </c>
    </row>
    <row r="5090">
      <c r="Y5090" s="6" t="s">
        <v>954</v>
      </c>
    </row>
    <row r="5091">
      <c r="Y5091" s="6" t="s">
        <v>954</v>
      </c>
    </row>
    <row r="5092">
      <c r="Y5092" s="6" t="s">
        <v>954</v>
      </c>
    </row>
    <row r="5093">
      <c r="Y5093" s="6" t="s">
        <v>954</v>
      </c>
    </row>
    <row r="5094">
      <c r="Y5094" s="6" t="s">
        <v>954</v>
      </c>
    </row>
    <row r="5095">
      <c r="Y5095" s="6" t="s">
        <v>954</v>
      </c>
    </row>
    <row r="5096">
      <c r="Y5096" s="6" t="s">
        <v>954</v>
      </c>
    </row>
    <row r="5097">
      <c r="Y5097" s="6" t="s">
        <v>954</v>
      </c>
    </row>
    <row r="5098">
      <c r="Y5098" s="6" t="s">
        <v>954</v>
      </c>
    </row>
    <row r="5099">
      <c r="Y5099" s="6" t="s">
        <v>954</v>
      </c>
    </row>
    <row r="5100">
      <c r="Y5100" s="6" t="s">
        <v>954</v>
      </c>
    </row>
    <row r="5101">
      <c r="Y5101" s="6" t="s">
        <v>954</v>
      </c>
    </row>
    <row r="5102">
      <c r="Y5102" s="6" t="s">
        <v>954</v>
      </c>
    </row>
    <row r="5103">
      <c r="Y5103" s="6" t="s">
        <v>954</v>
      </c>
    </row>
    <row r="5104">
      <c r="Y5104" s="6" t="s">
        <v>954</v>
      </c>
    </row>
    <row r="5105">
      <c r="Y5105" s="6" t="s">
        <v>954</v>
      </c>
    </row>
    <row r="5106">
      <c r="Y5106" s="6" t="s">
        <v>954</v>
      </c>
    </row>
    <row r="5107">
      <c r="Y5107" s="6" t="s">
        <v>954</v>
      </c>
    </row>
    <row r="5108">
      <c r="Y5108" s="6" t="s">
        <v>954</v>
      </c>
    </row>
    <row r="5109">
      <c r="Y5109" s="6" t="s">
        <v>954</v>
      </c>
    </row>
    <row r="5110">
      <c r="Y5110" s="6" t="s">
        <v>954</v>
      </c>
    </row>
    <row r="5111">
      <c r="Y5111" s="6" t="s">
        <v>954</v>
      </c>
    </row>
    <row r="5112">
      <c r="Y5112" s="6" t="s">
        <v>954</v>
      </c>
    </row>
    <row r="5113">
      <c r="Y5113" s="6" t="s">
        <v>954</v>
      </c>
    </row>
    <row r="5114">
      <c r="Y5114" s="6" t="s">
        <v>954</v>
      </c>
    </row>
    <row r="5115">
      <c r="Y5115" s="6" t="s">
        <v>954</v>
      </c>
    </row>
    <row r="5116">
      <c r="Y5116" s="6" t="s">
        <v>954</v>
      </c>
    </row>
    <row r="5117">
      <c r="Y5117" s="6" t="s">
        <v>954</v>
      </c>
    </row>
    <row r="5118">
      <c r="Y5118" s="6" t="s">
        <v>954</v>
      </c>
    </row>
    <row r="5119">
      <c r="Y5119" s="6" t="s">
        <v>954</v>
      </c>
    </row>
    <row r="5120">
      <c r="Y5120" s="6" t="s">
        <v>954</v>
      </c>
    </row>
    <row r="5121">
      <c r="Y5121" s="6" t="s">
        <v>954</v>
      </c>
    </row>
    <row r="5122">
      <c r="Y5122" s="6" t="s">
        <v>954</v>
      </c>
    </row>
    <row r="5123">
      <c r="Y5123" s="6" t="s">
        <v>954</v>
      </c>
    </row>
    <row r="5124">
      <c r="Y5124" s="6" t="s">
        <v>954</v>
      </c>
    </row>
    <row r="5125">
      <c r="Y5125" s="6" t="s">
        <v>954</v>
      </c>
    </row>
    <row r="5126">
      <c r="Y5126" s="6" t="s">
        <v>954</v>
      </c>
    </row>
    <row r="5127">
      <c r="Y5127" s="6" t="s">
        <v>954</v>
      </c>
    </row>
    <row r="5128">
      <c r="Y5128" s="6" t="s">
        <v>954</v>
      </c>
    </row>
    <row r="5129">
      <c r="Y5129" s="6" t="s">
        <v>954</v>
      </c>
    </row>
    <row r="5130">
      <c r="Y5130" s="6" t="s">
        <v>954</v>
      </c>
    </row>
    <row r="5131">
      <c r="Y5131" s="6" t="s">
        <v>954</v>
      </c>
    </row>
    <row r="5132">
      <c r="Y5132" s="6" t="s">
        <v>954</v>
      </c>
    </row>
    <row r="5133">
      <c r="Y5133" s="6" t="s">
        <v>954</v>
      </c>
    </row>
    <row r="5134">
      <c r="Y5134" s="6" t="s">
        <v>954</v>
      </c>
    </row>
    <row r="5135">
      <c r="Y5135" s="6" t="s">
        <v>954</v>
      </c>
    </row>
    <row r="5136">
      <c r="Y5136" s="6" t="s">
        <v>954</v>
      </c>
    </row>
    <row r="5137">
      <c r="Y5137" s="6" t="s">
        <v>954</v>
      </c>
    </row>
    <row r="5138">
      <c r="Y5138" s="6" t="s">
        <v>954</v>
      </c>
    </row>
    <row r="5139">
      <c r="Y5139" s="6" t="s">
        <v>954</v>
      </c>
    </row>
    <row r="5140">
      <c r="Y5140" s="6" t="s">
        <v>954</v>
      </c>
    </row>
    <row r="5141">
      <c r="Y5141" s="6" t="s">
        <v>954</v>
      </c>
    </row>
    <row r="5142">
      <c r="Y5142" s="6" t="s">
        <v>954</v>
      </c>
    </row>
    <row r="5143">
      <c r="Y5143" s="6" t="s">
        <v>954</v>
      </c>
    </row>
    <row r="5144">
      <c r="Y5144" s="6" t="s">
        <v>954</v>
      </c>
    </row>
    <row r="5145">
      <c r="Y5145" s="6" t="s">
        <v>954</v>
      </c>
    </row>
    <row r="5146">
      <c r="Y5146" s="6" t="s">
        <v>954</v>
      </c>
    </row>
    <row r="5147">
      <c r="Y5147" s="6" t="s">
        <v>954</v>
      </c>
    </row>
    <row r="5148">
      <c r="Y5148" s="6" t="s">
        <v>954</v>
      </c>
    </row>
    <row r="5149">
      <c r="Y5149" s="6" t="s">
        <v>954</v>
      </c>
    </row>
    <row r="5150">
      <c r="Y5150" s="6" t="s">
        <v>954</v>
      </c>
    </row>
    <row r="5151">
      <c r="Y5151" s="6" t="s">
        <v>954</v>
      </c>
    </row>
    <row r="5152">
      <c r="Y5152" s="6" t="s">
        <v>954</v>
      </c>
    </row>
    <row r="5153">
      <c r="Y5153" s="6" t="s">
        <v>954</v>
      </c>
    </row>
    <row r="5154">
      <c r="Y5154" s="6" t="s">
        <v>954</v>
      </c>
    </row>
    <row r="5155">
      <c r="Y5155" s="6" t="s">
        <v>954</v>
      </c>
    </row>
    <row r="5156">
      <c r="Y5156" s="6" t="s">
        <v>954</v>
      </c>
    </row>
    <row r="5157">
      <c r="Y5157" s="6" t="s">
        <v>954</v>
      </c>
    </row>
    <row r="5158">
      <c r="Y5158" s="6" t="s">
        <v>954</v>
      </c>
    </row>
    <row r="5159">
      <c r="Y5159" s="6" t="s">
        <v>954</v>
      </c>
    </row>
    <row r="5160">
      <c r="Y5160" s="6" t="s">
        <v>954</v>
      </c>
    </row>
    <row r="5161">
      <c r="Y5161" s="6" t="s">
        <v>954</v>
      </c>
    </row>
    <row r="5162">
      <c r="Y5162" s="6" t="s">
        <v>954</v>
      </c>
    </row>
    <row r="5163">
      <c r="Y5163" s="6" t="s">
        <v>954</v>
      </c>
    </row>
    <row r="5164">
      <c r="Y5164" s="6" t="s">
        <v>954</v>
      </c>
    </row>
    <row r="5165">
      <c r="Y5165" s="6" t="s">
        <v>954</v>
      </c>
    </row>
    <row r="5166">
      <c r="Y5166" s="6" t="s">
        <v>954</v>
      </c>
    </row>
    <row r="5167">
      <c r="Y5167" s="6" t="s">
        <v>954</v>
      </c>
    </row>
    <row r="5168">
      <c r="Y5168" s="6" t="s">
        <v>954</v>
      </c>
    </row>
    <row r="5169">
      <c r="Y5169" s="6" t="s">
        <v>954</v>
      </c>
    </row>
    <row r="5170">
      <c r="Y5170" s="6" t="s">
        <v>954</v>
      </c>
    </row>
    <row r="5171">
      <c r="Y5171" s="6" t="s">
        <v>954</v>
      </c>
    </row>
    <row r="5172">
      <c r="Y5172" s="6" t="s">
        <v>954</v>
      </c>
    </row>
    <row r="5173">
      <c r="Y5173" s="6" t="s">
        <v>954</v>
      </c>
    </row>
    <row r="5174">
      <c r="Y5174" s="6" t="s">
        <v>954</v>
      </c>
    </row>
    <row r="5175">
      <c r="Y5175" s="6" t="s">
        <v>954</v>
      </c>
    </row>
    <row r="5176">
      <c r="Y5176" s="6" t="s">
        <v>954</v>
      </c>
    </row>
    <row r="5177">
      <c r="Y5177" s="6" t="s">
        <v>954</v>
      </c>
    </row>
    <row r="5178">
      <c r="Y5178" s="6" t="s">
        <v>954</v>
      </c>
    </row>
    <row r="5179">
      <c r="Y5179" s="6" t="s">
        <v>954</v>
      </c>
    </row>
    <row r="5180">
      <c r="Y5180" s="6" t="s">
        <v>954</v>
      </c>
    </row>
    <row r="5181">
      <c r="Y5181" s="6" t="s">
        <v>954</v>
      </c>
    </row>
    <row r="5182">
      <c r="Y5182" s="6" t="s">
        <v>954</v>
      </c>
    </row>
    <row r="5183">
      <c r="Y5183" s="6" t="s">
        <v>954</v>
      </c>
    </row>
    <row r="5184">
      <c r="Y5184" s="6" t="s">
        <v>954</v>
      </c>
    </row>
    <row r="5185">
      <c r="Y5185" s="6" t="s">
        <v>954</v>
      </c>
    </row>
    <row r="5186">
      <c r="Y5186" s="6" t="s">
        <v>954</v>
      </c>
    </row>
    <row r="5187">
      <c r="Y5187" s="6" t="s">
        <v>954</v>
      </c>
    </row>
    <row r="5188">
      <c r="Y5188" s="6" t="s">
        <v>954</v>
      </c>
    </row>
    <row r="5189">
      <c r="Y5189" s="6" t="s">
        <v>954</v>
      </c>
    </row>
    <row r="5190">
      <c r="Y5190" s="6" t="s">
        <v>954</v>
      </c>
    </row>
    <row r="5191">
      <c r="Y5191" s="6" t="s">
        <v>954</v>
      </c>
    </row>
    <row r="5192">
      <c r="Y5192" s="6" t="s">
        <v>954</v>
      </c>
    </row>
    <row r="5193">
      <c r="Y5193" s="6" t="s">
        <v>954</v>
      </c>
    </row>
    <row r="5194">
      <c r="Y5194" s="6" t="s">
        <v>954</v>
      </c>
    </row>
    <row r="5195">
      <c r="Y5195" s="6" t="s">
        <v>954</v>
      </c>
    </row>
    <row r="5196">
      <c r="Y5196" s="6" t="s">
        <v>954</v>
      </c>
    </row>
    <row r="5197">
      <c r="Y5197" s="6" t="s">
        <v>954</v>
      </c>
    </row>
    <row r="5198">
      <c r="Y5198" s="6" t="s">
        <v>954</v>
      </c>
    </row>
    <row r="5199">
      <c r="Y5199" s="6" t="s">
        <v>954</v>
      </c>
    </row>
    <row r="5200">
      <c r="Y5200" s="6" t="s">
        <v>954</v>
      </c>
    </row>
    <row r="5201">
      <c r="Y5201" s="6" t="s">
        <v>954</v>
      </c>
    </row>
    <row r="5202">
      <c r="Y5202" s="6" t="s">
        <v>954</v>
      </c>
    </row>
    <row r="5203">
      <c r="Y5203" s="6" t="s">
        <v>954</v>
      </c>
    </row>
    <row r="5204">
      <c r="Y5204" s="6" t="s">
        <v>954</v>
      </c>
    </row>
    <row r="5205">
      <c r="Y5205" s="6" t="s">
        <v>954</v>
      </c>
    </row>
    <row r="5206">
      <c r="Y5206" s="6" t="s">
        <v>954</v>
      </c>
    </row>
    <row r="5207">
      <c r="Y5207" s="6" t="s">
        <v>954</v>
      </c>
    </row>
    <row r="5208">
      <c r="Y5208" s="6" t="s">
        <v>954</v>
      </c>
    </row>
    <row r="5209">
      <c r="Y5209" s="6" t="s">
        <v>954</v>
      </c>
    </row>
    <row r="5210">
      <c r="Y5210" s="6" t="s">
        <v>954</v>
      </c>
    </row>
    <row r="5211">
      <c r="Y5211" s="6" t="s">
        <v>954</v>
      </c>
    </row>
    <row r="5212">
      <c r="Y5212" s="6" t="s">
        <v>954</v>
      </c>
    </row>
    <row r="5213">
      <c r="Y5213" s="6" t="s">
        <v>954</v>
      </c>
    </row>
    <row r="5214">
      <c r="Y5214" s="6" t="s">
        <v>954</v>
      </c>
    </row>
    <row r="5215">
      <c r="Y5215" s="6" t="s">
        <v>954</v>
      </c>
    </row>
    <row r="5216">
      <c r="Y5216" s="6" t="s">
        <v>954</v>
      </c>
    </row>
    <row r="5217">
      <c r="Y5217" s="6" t="s">
        <v>954</v>
      </c>
    </row>
    <row r="5218">
      <c r="Y5218" s="6" t="s">
        <v>954</v>
      </c>
    </row>
    <row r="5219">
      <c r="Y5219" s="6" t="s">
        <v>954</v>
      </c>
    </row>
    <row r="5220">
      <c r="Y5220" s="6" t="s">
        <v>954</v>
      </c>
    </row>
    <row r="5221">
      <c r="Y5221" s="6" t="s">
        <v>954</v>
      </c>
    </row>
    <row r="5222">
      <c r="Y5222" s="6" t="s">
        <v>954</v>
      </c>
    </row>
    <row r="5223">
      <c r="Y5223" s="6" t="s">
        <v>954</v>
      </c>
    </row>
    <row r="5224">
      <c r="Y5224" s="6" t="s">
        <v>954</v>
      </c>
    </row>
    <row r="5225">
      <c r="Y5225" s="6" t="s">
        <v>954</v>
      </c>
    </row>
    <row r="5226">
      <c r="Y5226" s="6" t="s">
        <v>954</v>
      </c>
    </row>
    <row r="5227">
      <c r="Y5227" s="6" t="s">
        <v>954</v>
      </c>
    </row>
    <row r="5228">
      <c r="Y5228" s="6" t="s">
        <v>954</v>
      </c>
    </row>
    <row r="5229">
      <c r="Y5229" s="6" t="s">
        <v>954</v>
      </c>
    </row>
    <row r="5230">
      <c r="Y5230" s="6" t="s">
        <v>954</v>
      </c>
    </row>
    <row r="5231">
      <c r="Y5231" s="6" t="s">
        <v>954</v>
      </c>
    </row>
    <row r="5232">
      <c r="Y5232" s="6" t="s">
        <v>954</v>
      </c>
    </row>
    <row r="5233">
      <c r="Y5233" s="6" t="s">
        <v>954</v>
      </c>
    </row>
    <row r="5234">
      <c r="Y5234" s="6" t="s">
        <v>954</v>
      </c>
    </row>
    <row r="5235">
      <c r="Y5235" s="6" t="s">
        <v>954</v>
      </c>
    </row>
    <row r="5236">
      <c r="Y5236" s="6" t="s">
        <v>954</v>
      </c>
    </row>
    <row r="5237">
      <c r="Y5237" s="6" t="s">
        <v>954</v>
      </c>
    </row>
    <row r="5238">
      <c r="Y5238" s="6" t="s">
        <v>954</v>
      </c>
    </row>
    <row r="5239">
      <c r="Y5239" s="6" t="s">
        <v>954</v>
      </c>
    </row>
    <row r="5240">
      <c r="Y5240" s="6" t="s">
        <v>954</v>
      </c>
    </row>
    <row r="5241">
      <c r="Y5241" s="6" t="s">
        <v>954</v>
      </c>
    </row>
    <row r="5242">
      <c r="Y5242" s="6" t="s">
        <v>954</v>
      </c>
    </row>
    <row r="5243">
      <c r="Y5243" s="6" t="s">
        <v>954</v>
      </c>
    </row>
    <row r="5244">
      <c r="Y5244" s="6" t="s">
        <v>954</v>
      </c>
    </row>
    <row r="5245">
      <c r="Y5245" s="6" t="s">
        <v>954</v>
      </c>
    </row>
    <row r="5246">
      <c r="Y5246" s="6" t="s">
        <v>954</v>
      </c>
    </row>
    <row r="5247">
      <c r="Y5247" s="6" t="s">
        <v>954</v>
      </c>
    </row>
    <row r="5248">
      <c r="Y5248" s="6" t="s">
        <v>954</v>
      </c>
    </row>
    <row r="5249">
      <c r="Y5249" s="6" t="s">
        <v>954</v>
      </c>
    </row>
    <row r="5250">
      <c r="Y5250" s="6" t="s">
        <v>954</v>
      </c>
    </row>
    <row r="5251">
      <c r="Y5251" s="6" t="s">
        <v>954</v>
      </c>
    </row>
    <row r="5252">
      <c r="Y5252" s="6" t="s">
        <v>954</v>
      </c>
    </row>
    <row r="5253">
      <c r="Y5253" s="6" t="s">
        <v>954</v>
      </c>
    </row>
    <row r="5254">
      <c r="Y5254" s="6" t="s">
        <v>954</v>
      </c>
    </row>
    <row r="5255">
      <c r="Y5255" s="6" t="s">
        <v>954</v>
      </c>
    </row>
    <row r="5256">
      <c r="Y5256" s="6" t="s">
        <v>954</v>
      </c>
    </row>
    <row r="5257">
      <c r="Y5257" s="6" t="s">
        <v>954</v>
      </c>
    </row>
    <row r="5258">
      <c r="Y5258" s="6" t="s">
        <v>954</v>
      </c>
    </row>
    <row r="5259">
      <c r="Y5259" s="6" t="s">
        <v>954</v>
      </c>
    </row>
    <row r="5260">
      <c r="Y5260" s="6" t="s">
        <v>954</v>
      </c>
    </row>
    <row r="5261">
      <c r="Y5261" s="6" t="s">
        <v>954</v>
      </c>
    </row>
    <row r="5262">
      <c r="Y5262" s="6" t="s">
        <v>954</v>
      </c>
    </row>
    <row r="5263">
      <c r="Y5263" s="6" t="s">
        <v>954</v>
      </c>
    </row>
    <row r="5264">
      <c r="Y5264" s="6" t="s">
        <v>954</v>
      </c>
    </row>
    <row r="5265">
      <c r="Y5265" s="6" t="s">
        <v>954</v>
      </c>
    </row>
    <row r="5266">
      <c r="Y5266" s="6" t="s">
        <v>954</v>
      </c>
    </row>
    <row r="5267">
      <c r="Y5267" s="6" t="s">
        <v>954</v>
      </c>
    </row>
    <row r="5268">
      <c r="Y5268" s="6" t="s">
        <v>954</v>
      </c>
    </row>
    <row r="5269">
      <c r="Y5269" s="6" t="s">
        <v>954</v>
      </c>
    </row>
    <row r="5270">
      <c r="Y5270" s="6" t="s">
        <v>954</v>
      </c>
    </row>
    <row r="5271">
      <c r="Y5271" s="6" t="s">
        <v>954</v>
      </c>
    </row>
    <row r="5272">
      <c r="Y5272" s="6" t="s">
        <v>954</v>
      </c>
    </row>
    <row r="5273">
      <c r="Y5273" s="6" t="s">
        <v>954</v>
      </c>
    </row>
    <row r="5274">
      <c r="Y5274" s="6" t="s">
        <v>954</v>
      </c>
    </row>
    <row r="5275">
      <c r="Y5275" s="6" t="s">
        <v>954</v>
      </c>
    </row>
    <row r="5276">
      <c r="Y5276" s="6" t="s">
        <v>954</v>
      </c>
    </row>
    <row r="5277">
      <c r="Y5277" s="6" t="s">
        <v>954</v>
      </c>
    </row>
    <row r="5278">
      <c r="Y5278" s="6" t="s">
        <v>954</v>
      </c>
    </row>
    <row r="5279">
      <c r="Y5279" s="6" t="s">
        <v>954</v>
      </c>
    </row>
    <row r="5280">
      <c r="Y5280" s="6" t="s">
        <v>954</v>
      </c>
    </row>
    <row r="5281">
      <c r="Y5281" s="6" t="s">
        <v>954</v>
      </c>
    </row>
    <row r="5282">
      <c r="Y5282" s="6" t="s">
        <v>954</v>
      </c>
    </row>
    <row r="5283">
      <c r="Y5283" s="6" t="s">
        <v>954</v>
      </c>
    </row>
    <row r="5284">
      <c r="Y5284" s="6" t="s">
        <v>954</v>
      </c>
    </row>
    <row r="5285">
      <c r="Y5285" s="6" t="s">
        <v>954</v>
      </c>
    </row>
    <row r="5286">
      <c r="Y5286" s="6" t="s">
        <v>954</v>
      </c>
    </row>
    <row r="5287">
      <c r="Y5287" s="6" t="s">
        <v>954</v>
      </c>
    </row>
    <row r="5288">
      <c r="Y5288" s="6" t="s">
        <v>954</v>
      </c>
    </row>
    <row r="5289">
      <c r="Y5289" s="6" t="s">
        <v>954</v>
      </c>
    </row>
    <row r="5290">
      <c r="Y5290" s="6" t="s">
        <v>954</v>
      </c>
    </row>
    <row r="5291">
      <c r="Y5291" s="6" t="s">
        <v>954</v>
      </c>
    </row>
    <row r="5292">
      <c r="Y5292" s="6" t="s">
        <v>954</v>
      </c>
    </row>
    <row r="5293">
      <c r="Y5293" s="6" t="s">
        <v>954</v>
      </c>
    </row>
    <row r="5294">
      <c r="Y5294" s="6" t="s">
        <v>954</v>
      </c>
    </row>
    <row r="5295">
      <c r="Y5295" s="6" t="s">
        <v>954</v>
      </c>
    </row>
    <row r="5296">
      <c r="Y5296" s="6" t="s">
        <v>954</v>
      </c>
    </row>
    <row r="5297">
      <c r="Y5297" s="6" t="s">
        <v>954</v>
      </c>
    </row>
    <row r="5298">
      <c r="Y5298" s="6" t="s">
        <v>954</v>
      </c>
    </row>
    <row r="5299">
      <c r="Y5299" s="6" t="s">
        <v>954</v>
      </c>
    </row>
    <row r="5300">
      <c r="Y5300" s="6" t="s">
        <v>954</v>
      </c>
    </row>
    <row r="5301">
      <c r="Y5301" s="6" t="s">
        <v>954</v>
      </c>
    </row>
    <row r="5302">
      <c r="Y5302" s="6" t="s">
        <v>954</v>
      </c>
    </row>
    <row r="5303">
      <c r="Y5303" s="6" t="s">
        <v>954</v>
      </c>
    </row>
    <row r="5304">
      <c r="Y5304" s="6" t="s">
        <v>954</v>
      </c>
    </row>
    <row r="5305">
      <c r="Y5305" s="6" t="s">
        <v>954</v>
      </c>
    </row>
    <row r="5306">
      <c r="Y5306" s="6" t="s">
        <v>954</v>
      </c>
    </row>
    <row r="5307">
      <c r="Y5307" s="6" t="s">
        <v>954</v>
      </c>
    </row>
    <row r="5308">
      <c r="Y5308" s="6" t="s">
        <v>954</v>
      </c>
    </row>
    <row r="5309">
      <c r="Y5309" s="6" t="s">
        <v>954</v>
      </c>
    </row>
    <row r="5310">
      <c r="Y5310" s="6" t="s">
        <v>954</v>
      </c>
    </row>
    <row r="5311">
      <c r="Y5311" s="6" t="s">
        <v>954</v>
      </c>
    </row>
    <row r="5312">
      <c r="Y5312" s="6" t="s">
        <v>954</v>
      </c>
    </row>
    <row r="5313">
      <c r="Y5313" s="6" t="s">
        <v>954</v>
      </c>
    </row>
    <row r="5314">
      <c r="Y5314" s="6" t="s">
        <v>954</v>
      </c>
    </row>
    <row r="5315">
      <c r="Y5315" s="6" t="s">
        <v>954</v>
      </c>
    </row>
    <row r="5316">
      <c r="Y5316" s="6" t="s">
        <v>954</v>
      </c>
    </row>
    <row r="5317">
      <c r="Y5317" s="6" t="s">
        <v>954</v>
      </c>
    </row>
    <row r="5318">
      <c r="Y5318" s="6" t="s">
        <v>954</v>
      </c>
    </row>
    <row r="5319">
      <c r="Y5319" s="6" t="s">
        <v>954</v>
      </c>
    </row>
    <row r="5320">
      <c r="Y5320" s="6" t="s">
        <v>954</v>
      </c>
    </row>
    <row r="5321">
      <c r="Y5321" s="6" t="s">
        <v>954</v>
      </c>
    </row>
    <row r="5322">
      <c r="Y5322" s="6" t="s">
        <v>954</v>
      </c>
    </row>
    <row r="5323">
      <c r="Y5323" s="6" t="s">
        <v>954</v>
      </c>
    </row>
    <row r="5324">
      <c r="Y5324" s="6" t="s">
        <v>954</v>
      </c>
    </row>
    <row r="5325">
      <c r="Y5325" s="6" t="s">
        <v>954</v>
      </c>
    </row>
    <row r="5326">
      <c r="Y5326" s="6" t="s">
        <v>954</v>
      </c>
    </row>
    <row r="5327">
      <c r="Y5327" s="6" t="s">
        <v>954</v>
      </c>
    </row>
    <row r="5328">
      <c r="Y5328" s="6" t="s">
        <v>954</v>
      </c>
    </row>
    <row r="5329">
      <c r="Y5329" s="6" t="s">
        <v>954</v>
      </c>
    </row>
    <row r="5330">
      <c r="Y5330" s="6" t="s">
        <v>954</v>
      </c>
    </row>
    <row r="5331">
      <c r="Y5331" s="6" t="s">
        <v>954</v>
      </c>
    </row>
    <row r="5332">
      <c r="Y5332" s="6" t="s">
        <v>954</v>
      </c>
    </row>
    <row r="5333">
      <c r="Y5333" s="6" t="s">
        <v>954</v>
      </c>
    </row>
    <row r="5334">
      <c r="Y5334" s="6" t="s">
        <v>954</v>
      </c>
    </row>
    <row r="5335">
      <c r="Y5335" s="6" t="s">
        <v>954</v>
      </c>
    </row>
    <row r="5336">
      <c r="Y5336" s="6" t="s">
        <v>954</v>
      </c>
    </row>
    <row r="5337">
      <c r="Y5337" s="6" t="s">
        <v>954</v>
      </c>
    </row>
    <row r="5338">
      <c r="Y5338" s="6" t="s">
        <v>954</v>
      </c>
    </row>
    <row r="5339">
      <c r="Y5339" s="6" t="s">
        <v>954</v>
      </c>
    </row>
    <row r="5340">
      <c r="Y5340" s="6" t="s">
        <v>954</v>
      </c>
    </row>
    <row r="5341">
      <c r="Y5341" s="6" t="s">
        <v>954</v>
      </c>
    </row>
    <row r="5342">
      <c r="Y5342" s="6" t="s">
        <v>954</v>
      </c>
    </row>
    <row r="5343">
      <c r="Y5343" s="6" t="s">
        <v>954</v>
      </c>
    </row>
    <row r="5344">
      <c r="Y5344" s="6" t="s">
        <v>954</v>
      </c>
    </row>
    <row r="5345">
      <c r="Y5345" s="6" t="s">
        <v>954</v>
      </c>
    </row>
    <row r="5346">
      <c r="Y5346" s="6" t="s">
        <v>954</v>
      </c>
    </row>
    <row r="5347">
      <c r="Y5347" s="6" t="s">
        <v>954</v>
      </c>
    </row>
    <row r="5348">
      <c r="Y5348" s="6" t="s">
        <v>954</v>
      </c>
    </row>
    <row r="5349">
      <c r="Y5349" s="6" t="s">
        <v>954</v>
      </c>
    </row>
    <row r="5350">
      <c r="Y5350" s="6" t="s">
        <v>954</v>
      </c>
    </row>
    <row r="5351">
      <c r="Y5351" s="6" t="s">
        <v>954</v>
      </c>
    </row>
    <row r="5352">
      <c r="Y5352" s="6" t="s">
        <v>954</v>
      </c>
    </row>
    <row r="5353">
      <c r="Y5353" s="6" t="s">
        <v>954</v>
      </c>
    </row>
    <row r="5354">
      <c r="Y5354" s="6" t="s">
        <v>954</v>
      </c>
    </row>
    <row r="5355">
      <c r="Y5355" s="6" t="s">
        <v>954</v>
      </c>
    </row>
    <row r="5356">
      <c r="Y5356" s="6" t="s">
        <v>954</v>
      </c>
    </row>
    <row r="5357">
      <c r="Y5357" s="6" t="s">
        <v>954</v>
      </c>
    </row>
    <row r="5358">
      <c r="Y5358" s="6" t="s">
        <v>954</v>
      </c>
    </row>
    <row r="5359">
      <c r="Y5359" s="6" t="s">
        <v>954</v>
      </c>
    </row>
    <row r="5360">
      <c r="Y5360" s="6" t="s">
        <v>954</v>
      </c>
    </row>
    <row r="5361">
      <c r="Y5361" s="6" t="s">
        <v>954</v>
      </c>
    </row>
    <row r="5362">
      <c r="Y5362" s="6" t="s">
        <v>954</v>
      </c>
    </row>
    <row r="5363">
      <c r="Y5363" s="6" t="s">
        <v>954</v>
      </c>
    </row>
    <row r="5364">
      <c r="Y5364" s="6" t="s">
        <v>954</v>
      </c>
    </row>
    <row r="5365">
      <c r="Y5365" s="6" t="s">
        <v>954</v>
      </c>
    </row>
    <row r="5366">
      <c r="Y5366" s="6" t="s">
        <v>954</v>
      </c>
    </row>
    <row r="5367">
      <c r="Y5367" s="6" t="s">
        <v>954</v>
      </c>
    </row>
    <row r="5368">
      <c r="Y5368" s="6" t="s">
        <v>954</v>
      </c>
    </row>
    <row r="5369">
      <c r="Y5369" s="6" t="s">
        <v>954</v>
      </c>
    </row>
    <row r="5370">
      <c r="Y5370" s="6" t="s">
        <v>954</v>
      </c>
    </row>
    <row r="5371">
      <c r="Y5371" s="6" t="s">
        <v>954</v>
      </c>
    </row>
    <row r="5372">
      <c r="Y5372" s="6" t="s">
        <v>954</v>
      </c>
    </row>
    <row r="5373">
      <c r="Y5373" s="6" t="s">
        <v>954</v>
      </c>
    </row>
    <row r="5374">
      <c r="Y5374" s="6" t="s">
        <v>954</v>
      </c>
    </row>
    <row r="5375">
      <c r="Y5375" s="6" t="s">
        <v>954</v>
      </c>
    </row>
    <row r="5376">
      <c r="Y5376" s="6" t="s">
        <v>954</v>
      </c>
    </row>
    <row r="5377">
      <c r="Y5377" s="6" t="s">
        <v>954</v>
      </c>
    </row>
    <row r="5378">
      <c r="Y5378" s="6" t="s">
        <v>954</v>
      </c>
    </row>
    <row r="5379">
      <c r="Y5379" s="6" t="s">
        <v>954</v>
      </c>
    </row>
    <row r="5380">
      <c r="Y5380" s="6" t="s">
        <v>954</v>
      </c>
    </row>
    <row r="5381">
      <c r="Y5381" s="6" t="s">
        <v>954</v>
      </c>
    </row>
    <row r="5382">
      <c r="Y5382" s="6" t="s">
        <v>954</v>
      </c>
    </row>
    <row r="5383">
      <c r="Y5383" s="6" t="s">
        <v>954</v>
      </c>
    </row>
    <row r="5384">
      <c r="Y5384" s="6" t="s">
        <v>954</v>
      </c>
    </row>
    <row r="5385">
      <c r="Y5385" s="6" t="s">
        <v>954</v>
      </c>
    </row>
    <row r="5386">
      <c r="Y5386" s="6" t="s">
        <v>954</v>
      </c>
    </row>
    <row r="5387">
      <c r="Y5387" s="6" t="s">
        <v>954</v>
      </c>
    </row>
    <row r="5388">
      <c r="Y5388" s="6" t="s">
        <v>954</v>
      </c>
    </row>
    <row r="5389">
      <c r="Y5389" s="6" t="s">
        <v>954</v>
      </c>
    </row>
    <row r="5390">
      <c r="Y5390" s="6" t="s">
        <v>954</v>
      </c>
    </row>
    <row r="5391">
      <c r="Y5391" s="6" t="s">
        <v>954</v>
      </c>
    </row>
    <row r="5392">
      <c r="Y5392" s="6" t="s">
        <v>954</v>
      </c>
    </row>
    <row r="5393">
      <c r="Y5393" s="6" t="s">
        <v>954</v>
      </c>
    </row>
    <row r="5394">
      <c r="Y5394" s="6" t="s">
        <v>954</v>
      </c>
    </row>
    <row r="5395">
      <c r="Y5395" s="6" t="s">
        <v>954</v>
      </c>
    </row>
    <row r="5396">
      <c r="Y5396" s="6" t="s">
        <v>954</v>
      </c>
    </row>
    <row r="5397">
      <c r="Y5397" s="6" t="s">
        <v>954</v>
      </c>
    </row>
    <row r="5398">
      <c r="Y5398" s="6" t="s">
        <v>954</v>
      </c>
    </row>
    <row r="5399">
      <c r="Y5399" s="6" t="s">
        <v>954</v>
      </c>
    </row>
    <row r="5400">
      <c r="Y5400" s="6" t="s">
        <v>954</v>
      </c>
    </row>
    <row r="5401">
      <c r="Y5401" s="6" t="s">
        <v>954</v>
      </c>
    </row>
    <row r="5402">
      <c r="Y5402" s="6" t="s">
        <v>954</v>
      </c>
    </row>
    <row r="5403">
      <c r="Y5403" s="6" t="s">
        <v>954</v>
      </c>
    </row>
    <row r="5404">
      <c r="Y5404" s="6" t="s">
        <v>954</v>
      </c>
    </row>
    <row r="5405">
      <c r="Y5405" s="6" t="s">
        <v>954</v>
      </c>
    </row>
    <row r="5406">
      <c r="Y5406" s="6" t="s">
        <v>954</v>
      </c>
    </row>
    <row r="5407">
      <c r="Y5407" s="6" t="s">
        <v>954</v>
      </c>
    </row>
    <row r="5408">
      <c r="Y5408" s="6" t="s">
        <v>954</v>
      </c>
    </row>
    <row r="5409">
      <c r="Y5409" s="6" t="s">
        <v>954</v>
      </c>
    </row>
    <row r="5410">
      <c r="Y5410" s="6" t="s">
        <v>954</v>
      </c>
    </row>
    <row r="5411">
      <c r="Y5411" s="6" t="s">
        <v>954</v>
      </c>
    </row>
    <row r="5412">
      <c r="Y5412" s="6" t="s">
        <v>954</v>
      </c>
    </row>
    <row r="5413">
      <c r="Y5413" s="6" t="s">
        <v>954</v>
      </c>
    </row>
    <row r="5414">
      <c r="Y5414" s="6" t="s">
        <v>954</v>
      </c>
    </row>
    <row r="5415">
      <c r="Y5415" s="6" t="s">
        <v>954</v>
      </c>
    </row>
    <row r="5416">
      <c r="Y5416" s="6" t="s">
        <v>954</v>
      </c>
    </row>
    <row r="5417">
      <c r="Y5417" s="6" t="s">
        <v>954</v>
      </c>
    </row>
    <row r="5418">
      <c r="Y5418" s="6" t="s">
        <v>954</v>
      </c>
    </row>
    <row r="5419">
      <c r="Y5419" s="6" t="s">
        <v>954</v>
      </c>
    </row>
    <row r="5420">
      <c r="Y5420" s="6" t="s">
        <v>954</v>
      </c>
    </row>
    <row r="5421">
      <c r="Y5421" s="6" t="s">
        <v>954</v>
      </c>
    </row>
    <row r="5422">
      <c r="Y5422" s="6" t="s">
        <v>954</v>
      </c>
    </row>
    <row r="5423">
      <c r="Y5423" s="6" t="s">
        <v>954</v>
      </c>
    </row>
    <row r="5424">
      <c r="Y5424" s="6" t="s">
        <v>954</v>
      </c>
    </row>
    <row r="5425">
      <c r="Y5425" s="6" t="s">
        <v>954</v>
      </c>
    </row>
    <row r="5426">
      <c r="Y5426" s="6" t="s">
        <v>954</v>
      </c>
    </row>
    <row r="5427">
      <c r="Y5427" s="6" t="s">
        <v>954</v>
      </c>
    </row>
    <row r="5428">
      <c r="Y5428" s="6" t="s">
        <v>954</v>
      </c>
    </row>
    <row r="5429">
      <c r="Y5429" s="6" t="s">
        <v>954</v>
      </c>
    </row>
    <row r="5430">
      <c r="Y5430" s="6" t="s">
        <v>954</v>
      </c>
    </row>
    <row r="5431">
      <c r="Y5431" s="6" t="s">
        <v>954</v>
      </c>
    </row>
    <row r="5432">
      <c r="Y5432" s="6" t="s">
        <v>954</v>
      </c>
    </row>
    <row r="5433">
      <c r="Y5433" s="6" t="s">
        <v>954</v>
      </c>
    </row>
    <row r="5434">
      <c r="Y5434" s="6" t="s">
        <v>954</v>
      </c>
    </row>
    <row r="5435">
      <c r="Y5435" s="6" t="s">
        <v>954</v>
      </c>
    </row>
    <row r="5436">
      <c r="Y5436" s="6" t="s">
        <v>954</v>
      </c>
    </row>
    <row r="5437">
      <c r="Y5437" s="6" t="s">
        <v>954</v>
      </c>
    </row>
    <row r="5438">
      <c r="Y5438" s="6" t="s">
        <v>954</v>
      </c>
    </row>
    <row r="5439">
      <c r="Y5439" s="6" t="s">
        <v>954</v>
      </c>
    </row>
    <row r="5440">
      <c r="Y5440" s="6" t="s">
        <v>954</v>
      </c>
    </row>
    <row r="5441">
      <c r="Y5441" s="6" t="s">
        <v>954</v>
      </c>
    </row>
    <row r="5442">
      <c r="Y5442" s="6" t="s">
        <v>954</v>
      </c>
    </row>
    <row r="5443">
      <c r="Y5443" s="6" t="s">
        <v>954</v>
      </c>
    </row>
    <row r="5444">
      <c r="Y5444" s="6" t="s">
        <v>954</v>
      </c>
    </row>
    <row r="5445">
      <c r="Y5445" s="6" t="s">
        <v>954</v>
      </c>
    </row>
    <row r="5446">
      <c r="Y5446" s="6" t="s">
        <v>954</v>
      </c>
    </row>
    <row r="5447">
      <c r="Y5447" s="6" t="s">
        <v>954</v>
      </c>
    </row>
    <row r="5448">
      <c r="Y5448" s="6" t="s">
        <v>954</v>
      </c>
    </row>
    <row r="5449">
      <c r="Y5449" s="6" t="s">
        <v>954</v>
      </c>
    </row>
    <row r="5450">
      <c r="Y5450" s="6" t="s">
        <v>954</v>
      </c>
    </row>
    <row r="5451">
      <c r="Y5451" s="6" t="s">
        <v>954</v>
      </c>
    </row>
    <row r="5452">
      <c r="Y5452" s="6" t="s">
        <v>954</v>
      </c>
    </row>
    <row r="5453">
      <c r="Y5453" s="6" t="s">
        <v>954</v>
      </c>
    </row>
    <row r="5454">
      <c r="Y5454" s="6" t="s">
        <v>954</v>
      </c>
    </row>
    <row r="5455">
      <c r="Y5455" s="6" t="s">
        <v>954</v>
      </c>
    </row>
    <row r="5456">
      <c r="Y5456" s="6" t="s">
        <v>954</v>
      </c>
    </row>
    <row r="5457">
      <c r="Y5457" s="6" t="s">
        <v>954</v>
      </c>
    </row>
    <row r="5458">
      <c r="Y5458" s="6" t="s">
        <v>954</v>
      </c>
    </row>
    <row r="5459">
      <c r="Y5459" s="6" t="s">
        <v>954</v>
      </c>
    </row>
    <row r="5460">
      <c r="Y5460" s="6" t="s">
        <v>954</v>
      </c>
    </row>
    <row r="5461">
      <c r="Y5461" s="6" t="s">
        <v>954</v>
      </c>
    </row>
    <row r="5462">
      <c r="Y5462" s="6" t="s">
        <v>954</v>
      </c>
    </row>
    <row r="5463">
      <c r="Y5463" s="6" t="s">
        <v>954</v>
      </c>
    </row>
    <row r="5464">
      <c r="Y5464" s="6" t="s">
        <v>954</v>
      </c>
    </row>
    <row r="5465">
      <c r="Y5465" s="6" t="s">
        <v>954</v>
      </c>
    </row>
    <row r="5466">
      <c r="Y5466" s="6" t="s">
        <v>954</v>
      </c>
    </row>
    <row r="5467">
      <c r="Y5467" s="6" t="s">
        <v>954</v>
      </c>
    </row>
    <row r="5468">
      <c r="Y5468" s="6" t="s">
        <v>954</v>
      </c>
    </row>
    <row r="5469">
      <c r="Y5469" s="6" t="s">
        <v>954</v>
      </c>
    </row>
    <row r="5470">
      <c r="Y5470" s="6" t="s">
        <v>954</v>
      </c>
    </row>
    <row r="5471">
      <c r="Y5471" s="6" t="s">
        <v>954</v>
      </c>
    </row>
    <row r="5472">
      <c r="Y5472" s="6" t="s">
        <v>954</v>
      </c>
    </row>
    <row r="5473">
      <c r="Y5473" s="6" t="s">
        <v>954</v>
      </c>
    </row>
    <row r="5474">
      <c r="Y5474" s="6" t="s">
        <v>954</v>
      </c>
    </row>
    <row r="5475">
      <c r="Y5475" s="6" t="s">
        <v>954</v>
      </c>
    </row>
    <row r="5476">
      <c r="Y5476" s="6" t="s">
        <v>954</v>
      </c>
    </row>
    <row r="5477">
      <c r="Y5477" s="6" t="s">
        <v>954</v>
      </c>
    </row>
    <row r="5478">
      <c r="Y5478" s="6" t="s">
        <v>954</v>
      </c>
    </row>
    <row r="5479">
      <c r="Y5479" s="6" t="s">
        <v>954</v>
      </c>
    </row>
    <row r="5480">
      <c r="Y5480" s="6" t="s">
        <v>954</v>
      </c>
    </row>
    <row r="5481">
      <c r="Y5481" s="6" t="s">
        <v>954</v>
      </c>
    </row>
    <row r="5482">
      <c r="Y5482" s="6" t="s">
        <v>954</v>
      </c>
    </row>
    <row r="5483">
      <c r="Y5483" s="6" t="s">
        <v>954</v>
      </c>
    </row>
    <row r="5484">
      <c r="Y5484" s="6" t="s">
        <v>954</v>
      </c>
    </row>
    <row r="5485">
      <c r="Y5485" s="6" t="s">
        <v>954</v>
      </c>
    </row>
    <row r="5486">
      <c r="Y5486" s="6" t="s">
        <v>954</v>
      </c>
    </row>
    <row r="5487">
      <c r="Y5487" s="6" t="s">
        <v>954</v>
      </c>
    </row>
    <row r="5488">
      <c r="Y5488" s="6" t="s">
        <v>954</v>
      </c>
    </row>
    <row r="5489">
      <c r="Y5489" s="6" t="s">
        <v>954</v>
      </c>
    </row>
    <row r="5490">
      <c r="Y5490" s="6" t="s">
        <v>954</v>
      </c>
    </row>
    <row r="5491">
      <c r="Y5491" s="6" t="s">
        <v>954</v>
      </c>
    </row>
    <row r="5492">
      <c r="Y5492" s="6" t="s">
        <v>954</v>
      </c>
    </row>
    <row r="5493">
      <c r="Y5493" s="6" t="s">
        <v>954</v>
      </c>
    </row>
    <row r="5494">
      <c r="Y5494" s="6" t="s">
        <v>954</v>
      </c>
    </row>
    <row r="5495">
      <c r="Y5495" s="6" t="s">
        <v>954</v>
      </c>
    </row>
    <row r="5496">
      <c r="Y5496" s="6" t="s">
        <v>954</v>
      </c>
    </row>
    <row r="5497">
      <c r="Y5497" s="6" t="s">
        <v>954</v>
      </c>
    </row>
    <row r="5498">
      <c r="Y5498" s="6" t="s">
        <v>954</v>
      </c>
    </row>
    <row r="5499">
      <c r="Y5499" s="6" t="s">
        <v>954</v>
      </c>
    </row>
    <row r="5500">
      <c r="Y5500" s="6" t="s">
        <v>954</v>
      </c>
    </row>
    <row r="5501">
      <c r="Y5501" s="6" t="s">
        <v>954</v>
      </c>
    </row>
    <row r="5502">
      <c r="Y5502" s="6" t="s">
        <v>954</v>
      </c>
    </row>
    <row r="5503">
      <c r="Y5503" s="6" t="s">
        <v>954</v>
      </c>
    </row>
    <row r="5504">
      <c r="Y5504" s="6" t="s">
        <v>954</v>
      </c>
    </row>
    <row r="5505">
      <c r="Y5505" s="6" t="s">
        <v>954</v>
      </c>
    </row>
    <row r="5506">
      <c r="Y5506" s="6" t="s">
        <v>954</v>
      </c>
    </row>
    <row r="5507">
      <c r="Y5507" s="6" t="s">
        <v>954</v>
      </c>
    </row>
    <row r="5508">
      <c r="Y5508" s="6" t="s">
        <v>954</v>
      </c>
    </row>
    <row r="5509">
      <c r="Y5509" s="6" t="s">
        <v>954</v>
      </c>
    </row>
    <row r="5510">
      <c r="Y5510" s="6" t="s">
        <v>954</v>
      </c>
    </row>
    <row r="5511">
      <c r="Y5511" s="6" t="s">
        <v>954</v>
      </c>
    </row>
    <row r="5512">
      <c r="Y5512" s="6" t="s">
        <v>954</v>
      </c>
    </row>
    <row r="5513">
      <c r="Y5513" s="6" t="s">
        <v>954</v>
      </c>
    </row>
    <row r="5514">
      <c r="Y5514" s="6" t="s">
        <v>954</v>
      </c>
    </row>
    <row r="5515">
      <c r="Y5515" s="6" t="s">
        <v>954</v>
      </c>
    </row>
    <row r="5516">
      <c r="Y5516" s="6" t="s">
        <v>954</v>
      </c>
    </row>
    <row r="5517">
      <c r="Y5517" s="6" t="s">
        <v>954</v>
      </c>
    </row>
    <row r="5518">
      <c r="Y5518" s="6" t="s">
        <v>954</v>
      </c>
    </row>
    <row r="5519">
      <c r="Y5519" s="6" t="s">
        <v>954</v>
      </c>
    </row>
    <row r="5520">
      <c r="Y5520" s="6" t="s">
        <v>954</v>
      </c>
    </row>
    <row r="5521">
      <c r="Y5521" s="6" t="s">
        <v>954</v>
      </c>
    </row>
    <row r="5522">
      <c r="Y5522" s="6" t="s">
        <v>954</v>
      </c>
    </row>
    <row r="5523">
      <c r="Y5523" s="6" t="s">
        <v>954</v>
      </c>
    </row>
    <row r="5524">
      <c r="Y5524" s="6" t="s">
        <v>954</v>
      </c>
    </row>
    <row r="5525">
      <c r="Y5525" s="6" t="s">
        <v>954</v>
      </c>
    </row>
    <row r="5526">
      <c r="Y5526" s="6" t="s">
        <v>954</v>
      </c>
    </row>
    <row r="5527">
      <c r="Y5527" s="6" t="s">
        <v>954</v>
      </c>
    </row>
    <row r="5528">
      <c r="Y5528" s="6" t="s">
        <v>954</v>
      </c>
    </row>
    <row r="5529">
      <c r="Y5529" s="6" t="s">
        <v>954</v>
      </c>
    </row>
    <row r="5530">
      <c r="Y5530" s="6" t="s">
        <v>954</v>
      </c>
    </row>
    <row r="5531">
      <c r="Y5531" s="6" t="s">
        <v>954</v>
      </c>
    </row>
    <row r="5532">
      <c r="Y5532" s="6" t="s">
        <v>954</v>
      </c>
    </row>
    <row r="5533">
      <c r="Y5533" s="6" t="s">
        <v>954</v>
      </c>
    </row>
    <row r="5534">
      <c r="Y5534" s="6" t="s">
        <v>954</v>
      </c>
    </row>
    <row r="5535">
      <c r="Y5535" s="6" t="s">
        <v>954</v>
      </c>
    </row>
    <row r="5536">
      <c r="Y5536" s="6" t="s">
        <v>954</v>
      </c>
    </row>
    <row r="5537">
      <c r="Y5537" s="6" t="s">
        <v>954</v>
      </c>
    </row>
    <row r="5538">
      <c r="Y5538" s="6" t="s">
        <v>954</v>
      </c>
    </row>
    <row r="5539">
      <c r="Y5539" s="6" t="s">
        <v>954</v>
      </c>
    </row>
    <row r="5540">
      <c r="Y5540" s="6" t="s">
        <v>954</v>
      </c>
    </row>
    <row r="5541">
      <c r="Y5541" s="6" t="s">
        <v>954</v>
      </c>
    </row>
    <row r="5542">
      <c r="Y5542" s="6" t="s">
        <v>954</v>
      </c>
    </row>
    <row r="5543">
      <c r="Y5543" s="6" t="s">
        <v>954</v>
      </c>
    </row>
    <row r="5544">
      <c r="Y5544" s="6" t="s">
        <v>954</v>
      </c>
    </row>
    <row r="5545">
      <c r="Y5545" s="6" t="s">
        <v>954</v>
      </c>
    </row>
    <row r="5546">
      <c r="Y5546" s="6" t="s">
        <v>954</v>
      </c>
    </row>
    <row r="5547">
      <c r="Y5547" s="6" t="s">
        <v>954</v>
      </c>
    </row>
    <row r="5548">
      <c r="Y5548" s="6" t="s">
        <v>954</v>
      </c>
    </row>
    <row r="5549">
      <c r="Y5549" s="6" t="s">
        <v>954</v>
      </c>
    </row>
    <row r="5550">
      <c r="Y5550" s="6" t="s">
        <v>954</v>
      </c>
    </row>
    <row r="5551">
      <c r="Y5551" s="6" t="s">
        <v>954</v>
      </c>
    </row>
    <row r="5552">
      <c r="Y5552" s="6" t="s">
        <v>954</v>
      </c>
    </row>
    <row r="5553">
      <c r="Y5553" s="6" t="s">
        <v>954</v>
      </c>
    </row>
    <row r="5554">
      <c r="Y5554" s="6" t="s">
        <v>954</v>
      </c>
    </row>
    <row r="5555">
      <c r="Y5555" s="6" t="s">
        <v>954</v>
      </c>
    </row>
    <row r="5556">
      <c r="Y5556" s="6" t="s">
        <v>954</v>
      </c>
    </row>
    <row r="5557">
      <c r="Y5557" s="6" t="s">
        <v>954</v>
      </c>
    </row>
    <row r="5558">
      <c r="Y5558" s="6" t="s">
        <v>954</v>
      </c>
    </row>
    <row r="5559">
      <c r="Y5559" s="6" t="s">
        <v>954</v>
      </c>
    </row>
    <row r="5560">
      <c r="Y5560" s="6" t="s">
        <v>954</v>
      </c>
    </row>
    <row r="5561">
      <c r="Y5561" s="6" t="s">
        <v>954</v>
      </c>
    </row>
    <row r="5562">
      <c r="Y5562" s="6" t="s">
        <v>954</v>
      </c>
    </row>
    <row r="5563">
      <c r="Y5563" s="6" t="s">
        <v>954</v>
      </c>
    </row>
    <row r="5564">
      <c r="Y5564" s="6" t="s">
        <v>954</v>
      </c>
    </row>
    <row r="5565">
      <c r="Y5565" s="6" t="s">
        <v>954</v>
      </c>
    </row>
    <row r="5566">
      <c r="Y5566" s="6" t="s">
        <v>954</v>
      </c>
    </row>
    <row r="5567">
      <c r="Y5567" s="6" t="s">
        <v>954</v>
      </c>
    </row>
    <row r="5568">
      <c r="Y5568" s="6" t="s">
        <v>954</v>
      </c>
    </row>
    <row r="5569">
      <c r="Y5569" s="6" t="s">
        <v>954</v>
      </c>
    </row>
    <row r="5570">
      <c r="Y5570" s="6" t="s">
        <v>954</v>
      </c>
    </row>
    <row r="5571">
      <c r="Y5571" s="6" t="s">
        <v>954</v>
      </c>
    </row>
    <row r="5572">
      <c r="Y5572" s="6" t="s">
        <v>954</v>
      </c>
    </row>
    <row r="5573">
      <c r="Y5573" s="6" t="s">
        <v>954</v>
      </c>
    </row>
    <row r="5574">
      <c r="Y5574" s="6" t="s">
        <v>954</v>
      </c>
    </row>
    <row r="5575">
      <c r="Y5575" s="6" t="s">
        <v>954</v>
      </c>
    </row>
    <row r="5576">
      <c r="Y5576" s="6" t="s">
        <v>954</v>
      </c>
    </row>
    <row r="5577">
      <c r="Y5577" s="6" t="s">
        <v>954</v>
      </c>
    </row>
    <row r="5578">
      <c r="Y5578" s="6" t="s">
        <v>954</v>
      </c>
    </row>
    <row r="5579">
      <c r="Y5579" s="6" t="s">
        <v>954</v>
      </c>
    </row>
    <row r="5580">
      <c r="Y5580" s="6" t="s">
        <v>954</v>
      </c>
    </row>
    <row r="5581">
      <c r="Y5581" s="6" t="s">
        <v>954</v>
      </c>
    </row>
    <row r="5582">
      <c r="Y5582" s="6" t="s">
        <v>954</v>
      </c>
    </row>
    <row r="5583">
      <c r="Y5583" s="6" t="s">
        <v>954</v>
      </c>
    </row>
    <row r="5584">
      <c r="Y5584" s="6" t="s">
        <v>954</v>
      </c>
    </row>
    <row r="5585">
      <c r="Y5585" s="6" t="s">
        <v>954</v>
      </c>
    </row>
    <row r="5586">
      <c r="Y5586" s="6" t="s">
        <v>954</v>
      </c>
    </row>
    <row r="5587">
      <c r="Y5587" s="6" t="s">
        <v>954</v>
      </c>
    </row>
    <row r="5588">
      <c r="Y5588" s="6" t="s">
        <v>954</v>
      </c>
    </row>
    <row r="5589">
      <c r="Y5589" s="6" t="s">
        <v>954</v>
      </c>
    </row>
    <row r="5590">
      <c r="Y5590" s="6" t="s">
        <v>954</v>
      </c>
    </row>
    <row r="5591">
      <c r="Y5591" s="6" t="s">
        <v>954</v>
      </c>
    </row>
    <row r="5592">
      <c r="Y5592" s="6" t="s">
        <v>954</v>
      </c>
    </row>
    <row r="5593">
      <c r="Y5593" s="6" t="s">
        <v>954</v>
      </c>
    </row>
    <row r="5594">
      <c r="Y5594" s="6" t="s">
        <v>954</v>
      </c>
    </row>
    <row r="5595">
      <c r="Y5595" s="6" t="s">
        <v>954</v>
      </c>
    </row>
    <row r="5596">
      <c r="Y5596" s="6" t="s">
        <v>954</v>
      </c>
    </row>
    <row r="5597">
      <c r="Y5597" s="6" t="s">
        <v>954</v>
      </c>
    </row>
    <row r="5598">
      <c r="Y5598" s="6" t="s">
        <v>954</v>
      </c>
    </row>
    <row r="5599">
      <c r="Y5599" s="6" t="s">
        <v>954</v>
      </c>
    </row>
    <row r="5600">
      <c r="Y5600" s="6" t="s">
        <v>954</v>
      </c>
    </row>
    <row r="5601">
      <c r="Y5601" s="6" t="s">
        <v>954</v>
      </c>
    </row>
    <row r="5602">
      <c r="Y5602" s="6" t="s">
        <v>954</v>
      </c>
    </row>
    <row r="5603">
      <c r="Y5603" s="6" t="s">
        <v>954</v>
      </c>
    </row>
    <row r="5604">
      <c r="Y5604" s="6" t="s">
        <v>954</v>
      </c>
    </row>
    <row r="5605">
      <c r="Y5605" s="6" t="s">
        <v>954</v>
      </c>
    </row>
    <row r="5606">
      <c r="Y5606" s="6" t="s">
        <v>954</v>
      </c>
    </row>
    <row r="5607">
      <c r="Y5607" s="6" t="s">
        <v>954</v>
      </c>
    </row>
    <row r="5608">
      <c r="Y5608" s="6" t="s">
        <v>954</v>
      </c>
    </row>
    <row r="5609">
      <c r="Y5609" s="6" t="s">
        <v>954</v>
      </c>
    </row>
    <row r="5610">
      <c r="Y5610" s="6" t="s">
        <v>954</v>
      </c>
    </row>
    <row r="5611">
      <c r="Y5611" s="6" t="s">
        <v>954</v>
      </c>
    </row>
    <row r="5612">
      <c r="Y5612" s="6" t="s">
        <v>954</v>
      </c>
    </row>
    <row r="5613">
      <c r="Y5613" s="6" t="s">
        <v>954</v>
      </c>
    </row>
    <row r="5614">
      <c r="Y5614" s="6" t="s">
        <v>954</v>
      </c>
    </row>
    <row r="5615">
      <c r="Y5615" s="6" t="s">
        <v>954</v>
      </c>
    </row>
    <row r="5616">
      <c r="Y5616" s="6" t="s">
        <v>954</v>
      </c>
    </row>
    <row r="5617">
      <c r="Y5617" s="6" t="s">
        <v>954</v>
      </c>
    </row>
    <row r="5618">
      <c r="Y5618" s="6" t="s">
        <v>954</v>
      </c>
    </row>
    <row r="5619">
      <c r="Y5619" s="6" t="s">
        <v>954</v>
      </c>
    </row>
    <row r="5620">
      <c r="Y5620" s="6" t="s">
        <v>954</v>
      </c>
    </row>
    <row r="5621">
      <c r="Y5621" s="6" t="s">
        <v>954</v>
      </c>
    </row>
    <row r="5622">
      <c r="Y5622" s="6" t="s">
        <v>954</v>
      </c>
    </row>
    <row r="5623">
      <c r="Y5623" s="6" t="s">
        <v>954</v>
      </c>
    </row>
    <row r="5624">
      <c r="Y5624" s="6" t="s">
        <v>954</v>
      </c>
    </row>
    <row r="5625">
      <c r="Y5625" s="6" t="s">
        <v>954</v>
      </c>
    </row>
    <row r="5626">
      <c r="Y5626" s="6" t="s">
        <v>954</v>
      </c>
    </row>
    <row r="5627">
      <c r="Y5627" s="6" t="s">
        <v>954</v>
      </c>
    </row>
    <row r="5628">
      <c r="Y5628" s="6" t="s">
        <v>954</v>
      </c>
    </row>
    <row r="5629">
      <c r="Y5629" s="6" t="s">
        <v>954</v>
      </c>
    </row>
    <row r="5630">
      <c r="Y5630" s="6" t="s">
        <v>954</v>
      </c>
    </row>
    <row r="5631">
      <c r="Y5631" s="6" t="s">
        <v>954</v>
      </c>
    </row>
    <row r="5632">
      <c r="Y5632" s="6" t="s">
        <v>954</v>
      </c>
    </row>
    <row r="5633">
      <c r="Y5633" s="6" t="s">
        <v>954</v>
      </c>
    </row>
    <row r="5634">
      <c r="Y5634" s="6" t="s">
        <v>954</v>
      </c>
    </row>
    <row r="5635">
      <c r="Y5635" s="6" t="s">
        <v>954</v>
      </c>
    </row>
    <row r="5636">
      <c r="Y5636" s="6" t="s">
        <v>954</v>
      </c>
    </row>
    <row r="5637">
      <c r="Y5637" s="6" t="s">
        <v>954</v>
      </c>
    </row>
    <row r="5638">
      <c r="Y5638" s="6" t="s">
        <v>954</v>
      </c>
    </row>
    <row r="5639">
      <c r="Y5639" s="6" t="s">
        <v>954</v>
      </c>
    </row>
    <row r="5640">
      <c r="Y5640" s="6" t="s">
        <v>954</v>
      </c>
    </row>
    <row r="5641">
      <c r="Y5641" s="6" t="s">
        <v>954</v>
      </c>
    </row>
    <row r="5642">
      <c r="Y5642" s="6" t="s">
        <v>954</v>
      </c>
    </row>
    <row r="5643">
      <c r="Y5643" s="6" t="s">
        <v>954</v>
      </c>
    </row>
    <row r="5644">
      <c r="Y5644" s="6" t="s">
        <v>954</v>
      </c>
    </row>
    <row r="5645">
      <c r="Y5645" s="6" t="s">
        <v>954</v>
      </c>
    </row>
    <row r="5646">
      <c r="Y5646" s="6" t="s">
        <v>954</v>
      </c>
    </row>
    <row r="5647">
      <c r="Y5647" s="6" t="s">
        <v>954</v>
      </c>
    </row>
    <row r="5648">
      <c r="Y5648" s="6" t="s">
        <v>954</v>
      </c>
    </row>
    <row r="5649">
      <c r="Y5649" s="6" t="s">
        <v>954</v>
      </c>
    </row>
    <row r="5650">
      <c r="Y5650" s="6" t="s">
        <v>954</v>
      </c>
    </row>
    <row r="5651">
      <c r="Y5651" s="6" t="s">
        <v>954</v>
      </c>
    </row>
    <row r="5652">
      <c r="Y5652" s="6" t="s">
        <v>954</v>
      </c>
    </row>
    <row r="5653">
      <c r="Y5653" s="6" t="s">
        <v>954</v>
      </c>
    </row>
    <row r="5654">
      <c r="Y5654" s="6" t="s">
        <v>954</v>
      </c>
    </row>
    <row r="5655">
      <c r="Y5655" s="6" t="s">
        <v>954</v>
      </c>
    </row>
    <row r="5656">
      <c r="Y5656" s="6" t="s">
        <v>954</v>
      </c>
    </row>
    <row r="5657">
      <c r="Y5657" s="6" t="s">
        <v>954</v>
      </c>
    </row>
    <row r="5658">
      <c r="Y5658" s="6" t="s">
        <v>954</v>
      </c>
    </row>
    <row r="5659">
      <c r="Y5659" s="6" t="s">
        <v>954</v>
      </c>
    </row>
    <row r="5660">
      <c r="Y5660" s="6" t="s">
        <v>954</v>
      </c>
    </row>
    <row r="5661">
      <c r="Y5661" s="6" t="s">
        <v>954</v>
      </c>
    </row>
    <row r="5662">
      <c r="Y5662" s="6" t="s">
        <v>954</v>
      </c>
    </row>
    <row r="5663">
      <c r="Y5663" s="6" t="s">
        <v>954</v>
      </c>
    </row>
    <row r="5664">
      <c r="Y5664" s="6" t="s">
        <v>954</v>
      </c>
    </row>
    <row r="5665">
      <c r="Y5665" s="6" t="s">
        <v>954</v>
      </c>
    </row>
    <row r="5666">
      <c r="Y5666" s="6" t="s">
        <v>954</v>
      </c>
    </row>
    <row r="5667">
      <c r="Y5667" s="6" t="s">
        <v>954</v>
      </c>
    </row>
    <row r="5668">
      <c r="Y5668" s="6" t="s">
        <v>954</v>
      </c>
    </row>
    <row r="5669">
      <c r="Y5669" s="6" t="s">
        <v>954</v>
      </c>
    </row>
    <row r="5670">
      <c r="Y5670" s="6" t="s">
        <v>954</v>
      </c>
    </row>
    <row r="5671">
      <c r="Y5671" s="6" t="s">
        <v>954</v>
      </c>
    </row>
    <row r="5672">
      <c r="Y5672" s="6" t="s">
        <v>954</v>
      </c>
    </row>
    <row r="5673">
      <c r="Y5673" s="6" t="s">
        <v>954</v>
      </c>
    </row>
    <row r="5674">
      <c r="Y5674" s="6" t="s">
        <v>954</v>
      </c>
    </row>
    <row r="5675">
      <c r="Y5675" s="6" t="s">
        <v>954</v>
      </c>
    </row>
    <row r="5676">
      <c r="Y5676" s="6" t="s">
        <v>954</v>
      </c>
    </row>
    <row r="5677">
      <c r="Y5677" s="6" t="s">
        <v>954</v>
      </c>
    </row>
    <row r="5678">
      <c r="Y5678" s="6" t="s">
        <v>954</v>
      </c>
    </row>
    <row r="5679">
      <c r="Y5679" s="6" t="s">
        <v>954</v>
      </c>
    </row>
    <row r="5680">
      <c r="Y5680" s="6" t="s">
        <v>954</v>
      </c>
    </row>
    <row r="5681">
      <c r="Y5681" s="6" t="s">
        <v>954</v>
      </c>
    </row>
    <row r="5682">
      <c r="Y5682" s="6" t="s">
        <v>954</v>
      </c>
    </row>
    <row r="5683">
      <c r="Y5683" s="6" t="s">
        <v>954</v>
      </c>
    </row>
    <row r="5684">
      <c r="Y5684" s="6" t="s">
        <v>954</v>
      </c>
    </row>
    <row r="5685">
      <c r="Y5685" s="6" t="s">
        <v>954</v>
      </c>
    </row>
    <row r="5686">
      <c r="Y5686" s="6" t="s">
        <v>954</v>
      </c>
    </row>
    <row r="5687">
      <c r="Y5687" s="6" t="s">
        <v>954</v>
      </c>
    </row>
    <row r="5688">
      <c r="Y5688" s="6" t="s">
        <v>954</v>
      </c>
    </row>
    <row r="5689">
      <c r="Y5689" s="6" t="s">
        <v>954</v>
      </c>
    </row>
    <row r="5690">
      <c r="Y5690" s="6" t="s">
        <v>954</v>
      </c>
    </row>
    <row r="5691">
      <c r="Y5691" s="6" t="s">
        <v>954</v>
      </c>
    </row>
    <row r="5692">
      <c r="Y5692" s="6" t="s">
        <v>954</v>
      </c>
    </row>
    <row r="5693">
      <c r="Y5693" s="6" t="s">
        <v>954</v>
      </c>
    </row>
    <row r="5694">
      <c r="Y5694" s="6" t="s">
        <v>954</v>
      </c>
    </row>
    <row r="5695">
      <c r="Y5695" s="6" t="s">
        <v>954</v>
      </c>
    </row>
    <row r="5696">
      <c r="Y5696" s="6" t="s">
        <v>954</v>
      </c>
    </row>
    <row r="5697">
      <c r="Y5697" s="6" t="s">
        <v>954</v>
      </c>
    </row>
    <row r="5698">
      <c r="Y5698" s="6" t="s">
        <v>954</v>
      </c>
    </row>
    <row r="5699">
      <c r="Y5699" s="6" t="s">
        <v>954</v>
      </c>
    </row>
    <row r="5700">
      <c r="Y5700" s="6" t="s">
        <v>954</v>
      </c>
    </row>
    <row r="5701">
      <c r="Y5701" s="6" t="s">
        <v>954</v>
      </c>
    </row>
    <row r="5702">
      <c r="Y5702" s="6" t="s">
        <v>954</v>
      </c>
    </row>
    <row r="5703">
      <c r="Y5703" s="6" t="s">
        <v>954</v>
      </c>
    </row>
    <row r="5704">
      <c r="Y5704" s="6" t="s">
        <v>954</v>
      </c>
    </row>
    <row r="5705">
      <c r="Y5705" s="6" t="s">
        <v>954</v>
      </c>
    </row>
    <row r="5706">
      <c r="Y5706" s="6" t="s">
        <v>954</v>
      </c>
    </row>
    <row r="5707">
      <c r="Y5707" s="6" t="s">
        <v>954</v>
      </c>
    </row>
    <row r="5708">
      <c r="Y5708" s="6" t="s">
        <v>954</v>
      </c>
    </row>
    <row r="5709">
      <c r="Y5709" s="6" t="s">
        <v>954</v>
      </c>
    </row>
    <row r="5710">
      <c r="Y5710" s="6" t="s">
        <v>954</v>
      </c>
    </row>
    <row r="5711">
      <c r="Y5711" s="6" t="s">
        <v>954</v>
      </c>
    </row>
    <row r="5712">
      <c r="Y5712" s="6" t="s">
        <v>954</v>
      </c>
    </row>
    <row r="5713">
      <c r="Y5713" s="6" t="s">
        <v>954</v>
      </c>
    </row>
    <row r="5714">
      <c r="Y5714" s="6" t="s">
        <v>954</v>
      </c>
    </row>
    <row r="5715">
      <c r="Y5715" s="6" t="s">
        <v>954</v>
      </c>
    </row>
    <row r="5716">
      <c r="Y5716" s="6" t="s">
        <v>954</v>
      </c>
    </row>
    <row r="5717">
      <c r="Y5717" s="6" t="s">
        <v>954</v>
      </c>
    </row>
    <row r="5718">
      <c r="Y5718" s="6" t="s">
        <v>954</v>
      </c>
    </row>
    <row r="5719">
      <c r="Y5719" s="6" t="s">
        <v>954</v>
      </c>
    </row>
    <row r="5720">
      <c r="Y5720" s="6" t="s">
        <v>954</v>
      </c>
    </row>
    <row r="5721">
      <c r="Y5721" s="6" t="s">
        <v>954</v>
      </c>
    </row>
    <row r="5722">
      <c r="Y5722" s="6" t="s">
        <v>954</v>
      </c>
    </row>
    <row r="5723">
      <c r="Y5723" s="6" t="s">
        <v>954</v>
      </c>
    </row>
    <row r="5724">
      <c r="Y5724" s="6" t="s">
        <v>954</v>
      </c>
    </row>
    <row r="5725">
      <c r="Y5725" s="6" t="s">
        <v>954</v>
      </c>
    </row>
    <row r="5726">
      <c r="Y5726" s="6" t="s">
        <v>954</v>
      </c>
    </row>
    <row r="5727">
      <c r="Y5727" s="6" t="s">
        <v>954</v>
      </c>
    </row>
    <row r="5728">
      <c r="Y5728" s="6" t="s">
        <v>954</v>
      </c>
    </row>
    <row r="5729">
      <c r="Y5729" s="6" t="s">
        <v>954</v>
      </c>
    </row>
    <row r="5730">
      <c r="Y5730" s="6" t="s">
        <v>954</v>
      </c>
    </row>
    <row r="5731">
      <c r="Y5731" s="6" t="s">
        <v>954</v>
      </c>
    </row>
    <row r="5732">
      <c r="Y5732" s="6" t="s">
        <v>954</v>
      </c>
    </row>
    <row r="5733">
      <c r="Y5733" s="6" t="s">
        <v>954</v>
      </c>
    </row>
    <row r="5734">
      <c r="Y5734" s="6" t="s">
        <v>954</v>
      </c>
    </row>
    <row r="5735">
      <c r="Y5735" s="6" t="s">
        <v>954</v>
      </c>
    </row>
    <row r="5736">
      <c r="Y5736" s="6" t="s">
        <v>954</v>
      </c>
    </row>
    <row r="5737">
      <c r="Y5737" s="6" t="s">
        <v>954</v>
      </c>
    </row>
    <row r="5738">
      <c r="Y5738" s="6" t="s">
        <v>954</v>
      </c>
    </row>
    <row r="5739">
      <c r="Y5739" s="6" t="s">
        <v>954</v>
      </c>
    </row>
    <row r="5740">
      <c r="Y5740" s="6" t="s">
        <v>954</v>
      </c>
    </row>
    <row r="5741">
      <c r="Y5741" s="6" t="s">
        <v>954</v>
      </c>
    </row>
    <row r="5742">
      <c r="Y5742" s="6" t="s">
        <v>954</v>
      </c>
    </row>
    <row r="5743">
      <c r="Y5743" s="6" t="s">
        <v>954</v>
      </c>
    </row>
    <row r="5744">
      <c r="Y5744" s="6" t="s">
        <v>954</v>
      </c>
    </row>
    <row r="5745">
      <c r="Y5745" s="6" t="s">
        <v>954</v>
      </c>
    </row>
    <row r="5746">
      <c r="Y5746" s="6" t="s">
        <v>954</v>
      </c>
    </row>
    <row r="5747">
      <c r="Y5747" s="6" t="s">
        <v>954</v>
      </c>
    </row>
    <row r="5748">
      <c r="Y5748" s="6" t="s">
        <v>954</v>
      </c>
    </row>
    <row r="5749">
      <c r="Y5749" s="6" t="s">
        <v>954</v>
      </c>
    </row>
    <row r="5750">
      <c r="Y5750" s="6" t="s">
        <v>954</v>
      </c>
    </row>
    <row r="5751">
      <c r="Y5751" s="6" t="s">
        <v>954</v>
      </c>
    </row>
    <row r="5752">
      <c r="Y5752" s="6" t="s">
        <v>954</v>
      </c>
    </row>
    <row r="5753">
      <c r="Y5753" s="6" t="s">
        <v>954</v>
      </c>
    </row>
    <row r="5754">
      <c r="Y5754" s="6" t="s">
        <v>954</v>
      </c>
    </row>
    <row r="5755">
      <c r="Y5755" s="6" t="s">
        <v>954</v>
      </c>
    </row>
    <row r="5756">
      <c r="Y5756" s="6" t="s">
        <v>954</v>
      </c>
    </row>
    <row r="5757">
      <c r="Y5757" s="6" t="s">
        <v>954</v>
      </c>
    </row>
    <row r="5758">
      <c r="Y5758" s="6" t="s">
        <v>954</v>
      </c>
    </row>
    <row r="5759">
      <c r="Y5759" s="6" t="s">
        <v>954</v>
      </c>
    </row>
    <row r="5760">
      <c r="Y5760" s="6" t="s">
        <v>954</v>
      </c>
    </row>
    <row r="5761">
      <c r="Y5761" s="6" t="s">
        <v>954</v>
      </c>
    </row>
    <row r="5762">
      <c r="Y5762" s="6" t="s">
        <v>954</v>
      </c>
    </row>
    <row r="5763">
      <c r="Y5763" s="6" t="s">
        <v>954</v>
      </c>
    </row>
    <row r="5764">
      <c r="Y5764" s="6" t="s">
        <v>954</v>
      </c>
    </row>
    <row r="5765">
      <c r="Y5765" s="6" t="s">
        <v>954</v>
      </c>
    </row>
    <row r="5766">
      <c r="Y5766" s="6" t="s">
        <v>954</v>
      </c>
    </row>
    <row r="5767">
      <c r="Y5767" s="6" t="s">
        <v>954</v>
      </c>
    </row>
    <row r="5768">
      <c r="Y5768" s="6" t="s">
        <v>954</v>
      </c>
    </row>
    <row r="5769">
      <c r="Y5769" s="6" t="s">
        <v>954</v>
      </c>
    </row>
    <row r="5770">
      <c r="Y5770" s="6" t="s">
        <v>954</v>
      </c>
    </row>
    <row r="5771">
      <c r="Y5771" s="6" t="s">
        <v>954</v>
      </c>
    </row>
    <row r="5772">
      <c r="Y5772" s="6" t="s">
        <v>954</v>
      </c>
    </row>
    <row r="5773">
      <c r="Y5773" s="6" t="s">
        <v>954</v>
      </c>
    </row>
    <row r="5774">
      <c r="Y5774" s="6" t="s">
        <v>954</v>
      </c>
    </row>
    <row r="5775">
      <c r="Y5775" s="6" t="s">
        <v>954</v>
      </c>
    </row>
    <row r="5776">
      <c r="Y5776" s="6" t="s">
        <v>954</v>
      </c>
    </row>
    <row r="5777">
      <c r="Y5777" s="6" t="s">
        <v>954</v>
      </c>
    </row>
    <row r="5778">
      <c r="Y5778" s="6" t="s">
        <v>954</v>
      </c>
    </row>
    <row r="5779">
      <c r="Y5779" s="6" t="s">
        <v>954</v>
      </c>
    </row>
    <row r="5780">
      <c r="Y5780" s="6" t="s">
        <v>954</v>
      </c>
    </row>
    <row r="5781">
      <c r="Y5781" s="6" t="s">
        <v>954</v>
      </c>
    </row>
    <row r="5782">
      <c r="Y5782" s="6" t="s">
        <v>954</v>
      </c>
    </row>
    <row r="5783">
      <c r="Y5783" s="6" t="s">
        <v>954</v>
      </c>
    </row>
    <row r="5784">
      <c r="Y5784" s="6" t="s">
        <v>954</v>
      </c>
    </row>
    <row r="5785">
      <c r="Y5785" s="6" t="s">
        <v>954</v>
      </c>
    </row>
    <row r="5786">
      <c r="Y5786" s="6" t="s">
        <v>954</v>
      </c>
    </row>
    <row r="5787">
      <c r="Y5787" s="6" t="s">
        <v>954</v>
      </c>
    </row>
    <row r="5788">
      <c r="Y5788" s="6" t="s">
        <v>954</v>
      </c>
    </row>
    <row r="5789">
      <c r="Y5789" s="6" t="s">
        <v>954</v>
      </c>
    </row>
    <row r="5790">
      <c r="Y5790" s="6" t="s">
        <v>954</v>
      </c>
    </row>
    <row r="5791">
      <c r="Y5791" s="6" t="s">
        <v>954</v>
      </c>
    </row>
    <row r="5792">
      <c r="Y5792" s="6" t="s">
        <v>954</v>
      </c>
    </row>
    <row r="5793">
      <c r="Y5793" s="6" t="s">
        <v>954</v>
      </c>
    </row>
    <row r="5794">
      <c r="Y5794" s="6" t="s">
        <v>954</v>
      </c>
    </row>
    <row r="5795">
      <c r="Y5795" s="6" t="s">
        <v>954</v>
      </c>
    </row>
    <row r="5796">
      <c r="Y5796" s="6" t="s">
        <v>954</v>
      </c>
    </row>
    <row r="5797">
      <c r="Y5797" s="6" t="s">
        <v>954</v>
      </c>
    </row>
    <row r="5798">
      <c r="Y5798" s="6" t="s">
        <v>954</v>
      </c>
    </row>
    <row r="5799">
      <c r="Y5799" s="6" t="s">
        <v>954</v>
      </c>
    </row>
    <row r="5800">
      <c r="Y5800" s="6" t="s">
        <v>954</v>
      </c>
    </row>
    <row r="5801">
      <c r="Y5801" s="6" t="s">
        <v>954</v>
      </c>
    </row>
    <row r="5802">
      <c r="Y5802" s="6" t="s">
        <v>954</v>
      </c>
    </row>
    <row r="5803">
      <c r="Y5803" s="6" t="s">
        <v>954</v>
      </c>
    </row>
    <row r="5804">
      <c r="Y5804" s="6" t="s">
        <v>954</v>
      </c>
    </row>
    <row r="5805">
      <c r="Y5805" s="6" t="s">
        <v>954</v>
      </c>
    </row>
    <row r="5806">
      <c r="Y5806" s="6" t="s">
        <v>954</v>
      </c>
    </row>
    <row r="5807">
      <c r="Y5807" s="6" t="s">
        <v>954</v>
      </c>
    </row>
    <row r="5808">
      <c r="Y5808" s="6" t="s">
        <v>954</v>
      </c>
    </row>
    <row r="5809">
      <c r="Y5809" s="6" t="s">
        <v>954</v>
      </c>
    </row>
    <row r="5810">
      <c r="Y5810" s="6" t="s">
        <v>954</v>
      </c>
    </row>
    <row r="5811">
      <c r="Y5811" s="6" t="s">
        <v>954</v>
      </c>
    </row>
    <row r="5812">
      <c r="Y5812" s="6" t="s">
        <v>954</v>
      </c>
    </row>
    <row r="5813">
      <c r="Y5813" s="6" t="s">
        <v>954</v>
      </c>
    </row>
    <row r="5814">
      <c r="Y5814" s="6" t="s">
        <v>954</v>
      </c>
    </row>
    <row r="5815">
      <c r="Y5815" s="6" t="s">
        <v>954</v>
      </c>
    </row>
    <row r="5816">
      <c r="Y5816" s="6" t="s">
        <v>954</v>
      </c>
    </row>
    <row r="5817">
      <c r="Y5817" s="6" t="s">
        <v>954</v>
      </c>
    </row>
    <row r="5818">
      <c r="Y5818" s="6" t="s">
        <v>954</v>
      </c>
    </row>
    <row r="5819">
      <c r="Y5819" s="6" t="s">
        <v>954</v>
      </c>
    </row>
    <row r="5820">
      <c r="Y5820" s="6" t="s">
        <v>954</v>
      </c>
    </row>
    <row r="5821">
      <c r="Y5821" s="6" t="s">
        <v>954</v>
      </c>
    </row>
    <row r="5822">
      <c r="Y5822" s="6" t="s">
        <v>954</v>
      </c>
    </row>
    <row r="5823">
      <c r="Y5823" s="6" t="s">
        <v>954</v>
      </c>
    </row>
    <row r="5824">
      <c r="Y5824" s="6" t="s">
        <v>954</v>
      </c>
    </row>
    <row r="5825">
      <c r="Y5825" s="6" t="s">
        <v>954</v>
      </c>
    </row>
    <row r="5826">
      <c r="Y5826" s="6" t="s">
        <v>954</v>
      </c>
    </row>
    <row r="5827">
      <c r="Y5827" s="6" t="s">
        <v>954</v>
      </c>
    </row>
    <row r="5828">
      <c r="Y5828" s="6" t="s">
        <v>954</v>
      </c>
    </row>
    <row r="5829">
      <c r="Y5829" s="6" t="s">
        <v>954</v>
      </c>
    </row>
    <row r="5830">
      <c r="Y5830" s="6" t="s">
        <v>954</v>
      </c>
    </row>
    <row r="5831">
      <c r="Y5831" s="6" t="s">
        <v>954</v>
      </c>
    </row>
    <row r="5832">
      <c r="Y5832" s="6" t="s">
        <v>954</v>
      </c>
    </row>
    <row r="5833">
      <c r="Y5833" s="6" t="s">
        <v>954</v>
      </c>
    </row>
    <row r="5834">
      <c r="Y5834" s="6" t="s">
        <v>954</v>
      </c>
    </row>
    <row r="5835">
      <c r="Y5835" s="6" t="s">
        <v>954</v>
      </c>
    </row>
    <row r="5836">
      <c r="Y5836" s="6" t="s">
        <v>954</v>
      </c>
    </row>
    <row r="5837">
      <c r="Y5837" s="6" t="s">
        <v>954</v>
      </c>
    </row>
    <row r="5838">
      <c r="Y5838" s="6" t="s">
        <v>954</v>
      </c>
    </row>
    <row r="5839">
      <c r="Y5839" s="6" t="s">
        <v>954</v>
      </c>
    </row>
    <row r="5840">
      <c r="Y5840" s="6" t="s">
        <v>954</v>
      </c>
    </row>
    <row r="5841">
      <c r="Y5841" s="6" t="s">
        <v>954</v>
      </c>
    </row>
    <row r="5842">
      <c r="Y5842" s="6" t="s">
        <v>954</v>
      </c>
    </row>
    <row r="5843">
      <c r="Y5843" s="6" t="s">
        <v>954</v>
      </c>
    </row>
    <row r="5844">
      <c r="Y5844" s="6" t="s">
        <v>954</v>
      </c>
    </row>
    <row r="5845">
      <c r="Y5845" s="6" t="s">
        <v>954</v>
      </c>
    </row>
    <row r="5846">
      <c r="Y5846" s="6" t="s">
        <v>954</v>
      </c>
    </row>
    <row r="5847">
      <c r="Y5847" s="6" t="s">
        <v>954</v>
      </c>
    </row>
    <row r="5848">
      <c r="Y5848" s="6" t="s">
        <v>954</v>
      </c>
    </row>
    <row r="5849">
      <c r="Y5849" s="6" t="s">
        <v>954</v>
      </c>
    </row>
    <row r="5850">
      <c r="Y5850" s="6" t="s">
        <v>954</v>
      </c>
    </row>
    <row r="5851">
      <c r="Y5851" s="6" t="s">
        <v>954</v>
      </c>
    </row>
    <row r="5852">
      <c r="Y5852" s="6" t="s">
        <v>954</v>
      </c>
    </row>
    <row r="5853">
      <c r="Y5853" s="6" t="s">
        <v>954</v>
      </c>
    </row>
    <row r="5854">
      <c r="Y5854" s="6" t="s">
        <v>954</v>
      </c>
    </row>
    <row r="5855">
      <c r="Y5855" s="6" t="s">
        <v>954</v>
      </c>
    </row>
    <row r="5856">
      <c r="Y5856" s="6" t="s">
        <v>954</v>
      </c>
    </row>
    <row r="5857">
      <c r="Y5857" s="6" t="s">
        <v>954</v>
      </c>
    </row>
    <row r="5858">
      <c r="Y5858" s="6" t="s">
        <v>954</v>
      </c>
    </row>
    <row r="5859">
      <c r="Y5859" s="6" t="s">
        <v>954</v>
      </c>
    </row>
    <row r="5860">
      <c r="Y5860" s="6" t="s">
        <v>954</v>
      </c>
    </row>
    <row r="5861">
      <c r="Y5861" s="6" t="s">
        <v>954</v>
      </c>
    </row>
    <row r="5862">
      <c r="Y5862" s="6" t="s">
        <v>954</v>
      </c>
    </row>
    <row r="5863">
      <c r="Y5863" s="6" t="s">
        <v>954</v>
      </c>
    </row>
    <row r="5864">
      <c r="Y5864" s="6" t="s">
        <v>954</v>
      </c>
    </row>
    <row r="5865">
      <c r="Y5865" s="6" t="s">
        <v>954</v>
      </c>
    </row>
    <row r="5866">
      <c r="Y5866" s="6" t="s">
        <v>954</v>
      </c>
    </row>
    <row r="5867">
      <c r="Y5867" s="6" t="s">
        <v>954</v>
      </c>
    </row>
    <row r="5868">
      <c r="Y5868" s="6" t="s">
        <v>954</v>
      </c>
    </row>
    <row r="5869">
      <c r="Y5869" s="6" t="s">
        <v>954</v>
      </c>
    </row>
    <row r="5870">
      <c r="Y5870" s="6" t="s">
        <v>954</v>
      </c>
    </row>
    <row r="5871">
      <c r="Y5871" s="6" t="s">
        <v>954</v>
      </c>
    </row>
    <row r="5872">
      <c r="Y5872" s="6" t="s">
        <v>954</v>
      </c>
    </row>
    <row r="5873">
      <c r="Y5873" s="6" t="s">
        <v>954</v>
      </c>
    </row>
    <row r="5874">
      <c r="Y5874" s="6" t="s">
        <v>954</v>
      </c>
    </row>
    <row r="5875">
      <c r="Y5875" s="6" t="s">
        <v>954</v>
      </c>
    </row>
    <row r="5876">
      <c r="Y5876" s="6" t="s">
        <v>954</v>
      </c>
    </row>
    <row r="5877">
      <c r="Y5877" s="6" t="s">
        <v>954</v>
      </c>
    </row>
    <row r="5878">
      <c r="Y5878" s="6" t="s">
        <v>954</v>
      </c>
    </row>
    <row r="5879">
      <c r="Y5879" s="6" t="s">
        <v>954</v>
      </c>
    </row>
    <row r="5880">
      <c r="Y5880" s="6" t="s">
        <v>954</v>
      </c>
    </row>
    <row r="5881">
      <c r="Y5881" s="6" t="s">
        <v>954</v>
      </c>
    </row>
    <row r="5882">
      <c r="Y5882" s="6" t="s">
        <v>954</v>
      </c>
    </row>
    <row r="5883">
      <c r="Y5883" s="6" t="s">
        <v>954</v>
      </c>
    </row>
    <row r="5884">
      <c r="Y5884" s="6" t="s">
        <v>954</v>
      </c>
    </row>
    <row r="5885">
      <c r="Y5885" s="6" t="s">
        <v>954</v>
      </c>
    </row>
    <row r="5886">
      <c r="Y5886" s="6" t="s">
        <v>954</v>
      </c>
    </row>
    <row r="5887">
      <c r="Y5887" s="6" t="s">
        <v>954</v>
      </c>
    </row>
    <row r="5888">
      <c r="Y5888" s="6" t="s">
        <v>954</v>
      </c>
    </row>
    <row r="5889">
      <c r="Y5889" s="6" t="s">
        <v>954</v>
      </c>
    </row>
    <row r="5890">
      <c r="Y5890" s="6" t="s">
        <v>954</v>
      </c>
    </row>
    <row r="5891">
      <c r="Y5891" s="6" t="s">
        <v>954</v>
      </c>
    </row>
    <row r="5892">
      <c r="Y5892" s="6" t="s">
        <v>954</v>
      </c>
    </row>
    <row r="5893">
      <c r="Y5893" s="6" t="s">
        <v>954</v>
      </c>
    </row>
    <row r="5894">
      <c r="Y5894" s="6" t="s">
        <v>954</v>
      </c>
    </row>
    <row r="5895">
      <c r="Y5895" s="6" t="s">
        <v>954</v>
      </c>
    </row>
    <row r="5896">
      <c r="Y5896" s="6" t="s">
        <v>954</v>
      </c>
    </row>
    <row r="5897">
      <c r="Y5897" s="6" t="s">
        <v>954</v>
      </c>
    </row>
    <row r="5898">
      <c r="Y5898" s="6" t="s">
        <v>954</v>
      </c>
    </row>
    <row r="5899">
      <c r="Y5899" s="6" t="s">
        <v>954</v>
      </c>
    </row>
    <row r="5900">
      <c r="Y5900" s="6" t="s">
        <v>954</v>
      </c>
    </row>
    <row r="5901">
      <c r="Y5901" s="6" t="s">
        <v>954</v>
      </c>
    </row>
    <row r="5902">
      <c r="Y5902" s="6" t="s">
        <v>954</v>
      </c>
    </row>
    <row r="5903">
      <c r="Y5903" s="6" t="s">
        <v>954</v>
      </c>
    </row>
    <row r="5904">
      <c r="Y5904" s="6" t="s">
        <v>954</v>
      </c>
    </row>
    <row r="5905">
      <c r="Y5905" s="6" t="s">
        <v>954</v>
      </c>
    </row>
    <row r="5906">
      <c r="Y5906" s="6" t="s">
        <v>954</v>
      </c>
    </row>
    <row r="5907">
      <c r="Y5907" s="6" t="s">
        <v>954</v>
      </c>
    </row>
    <row r="5908">
      <c r="Y5908" s="6" t="s">
        <v>954</v>
      </c>
    </row>
    <row r="5909">
      <c r="Y5909" s="6" t="s">
        <v>954</v>
      </c>
    </row>
    <row r="5910">
      <c r="Y5910" s="6" t="s">
        <v>954</v>
      </c>
    </row>
    <row r="5911">
      <c r="Y5911" s="6" t="s">
        <v>954</v>
      </c>
    </row>
    <row r="5912">
      <c r="Y5912" s="6" t="s">
        <v>954</v>
      </c>
    </row>
    <row r="5913">
      <c r="Y5913" s="6" t="s">
        <v>954</v>
      </c>
    </row>
    <row r="5914">
      <c r="Y5914" s="6" t="s">
        <v>954</v>
      </c>
    </row>
    <row r="5915">
      <c r="Y5915" s="6" t="s">
        <v>954</v>
      </c>
    </row>
    <row r="5916">
      <c r="Y5916" s="6" t="s">
        <v>954</v>
      </c>
    </row>
    <row r="5917">
      <c r="Y5917" s="6" t="s">
        <v>954</v>
      </c>
    </row>
    <row r="5918">
      <c r="Y5918" s="6" t="s">
        <v>954</v>
      </c>
    </row>
    <row r="5919">
      <c r="Y5919" s="6" t="s">
        <v>954</v>
      </c>
    </row>
    <row r="5920">
      <c r="Y5920" s="6" t="s">
        <v>954</v>
      </c>
    </row>
    <row r="5921">
      <c r="Y5921" s="6" t="s">
        <v>954</v>
      </c>
    </row>
    <row r="5922">
      <c r="Y5922" s="6" t="s">
        <v>954</v>
      </c>
    </row>
    <row r="5923">
      <c r="Y5923" s="6" t="s">
        <v>954</v>
      </c>
    </row>
    <row r="5924">
      <c r="Y5924" s="6" t="s">
        <v>954</v>
      </c>
    </row>
    <row r="5925">
      <c r="Y5925" s="6" t="s">
        <v>954</v>
      </c>
    </row>
    <row r="5926">
      <c r="Y5926" s="6" t="s">
        <v>954</v>
      </c>
    </row>
    <row r="5927">
      <c r="Y5927" s="6" t="s">
        <v>954</v>
      </c>
    </row>
    <row r="5928">
      <c r="Y5928" s="6" t="s">
        <v>954</v>
      </c>
    </row>
    <row r="5929">
      <c r="Y5929" s="6" t="s">
        <v>954</v>
      </c>
    </row>
    <row r="5930">
      <c r="Y5930" s="6" t="s">
        <v>954</v>
      </c>
    </row>
    <row r="5931">
      <c r="Y5931" s="6" t="s">
        <v>954</v>
      </c>
    </row>
    <row r="5932">
      <c r="Y5932" s="6" t="s">
        <v>954</v>
      </c>
    </row>
    <row r="5933">
      <c r="Y5933" s="6" t="s">
        <v>954</v>
      </c>
    </row>
    <row r="5934">
      <c r="Y5934" s="6" t="s">
        <v>954</v>
      </c>
    </row>
    <row r="5935">
      <c r="Y5935" s="6" t="s">
        <v>954</v>
      </c>
    </row>
    <row r="5936">
      <c r="Y5936" s="6" t="s">
        <v>954</v>
      </c>
    </row>
    <row r="5937">
      <c r="Y5937" s="6" t="s">
        <v>954</v>
      </c>
    </row>
    <row r="5938">
      <c r="Y5938" s="6" t="s">
        <v>954</v>
      </c>
    </row>
    <row r="5939">
      <c r="Y5939" s="6" t="s">
        <v>954</v>
      </c>
    </row>
    <row r="5940">
      <c r="Y5940" s="6" t="s">
        <v>954</v>
      </c>
    </row>
    <row r="5941">
      <c r="Y5941" s="6" t="s">
        <v>954</v>
      </c>
    </row>
    <row r="5942">
      <c r="Y5942" s="6" t="s">
        <v>954</v>
      </c>
    </row>
    <row r="5943">
      <c r="Y5943" s="6" t="s">
        <v>954</v>
      </c>
    </row>
    <row r="5944">
      <c r="Y5944" s="6" t="s">
        <v>954</v>
      </c>
    </row>
    <row r="5945">
      <c r="Y5945" s="6" t="s">
        <v>954</v>
      </c>
    </row>
    <row r="5946">
      <c r="Y5946" s="6" t="s">
        <v>954</v>
      </c>
    </row>
    <row r="5947">
      <c r="Y5947" s="6" t="s">
        <v>954</v>
      </c>
    </row>
    <row r="5948">
      <c r="Y5948" s="6" t="s">
        <v>954</v>
      </c>
    </row>
    <row r="5949">
      <c r="Y5949" s="6" t="s">
        <v>954</v>
      </c>
    </row>
    <row r="5950">
      <c r="Y5950" s="6" t="s">
        <v>954</v>
      </c>
    </row>
    <row r="5951">
      <c r="Y5951" s="6" t="s">
        <v>954</v>
      </c>
    </row>
    <row r="5952">
      <c r="Y5952" s="6" t="s">
        <v>954</v>
      </c>
    </row>
    <row r="5953">
      <c r="Y5953" s="6" t="s">
        <v>954</v>
      </c>
    </row>
    <row r="5954">
      <c r="Y5954" s="6" t="s">
        <v>954</v>
      </c>
    </row>
    <row r="5955">
      <c r="Y5955" s="6" t="s">
        <v>954</v>
      </c>
    </row>
    <row r="5956">
      <c r="Y5956" s="6" t="s">
        <v>954</v>
      </c>
    </row>
    <row r="5957">
      <c r="Y5957" s="6" t="s">
        <v>954</v>
      </c>
    </row>
    <row r="5958">
      <c r="Y5958" s="6" t="s">
        <v>954</v>
      </c>
    </row>
    <row r="5959">
      <c r="Y5959" s="6" t="s">
        <v>954</v>
      </c>
    </row>
    <row r="5960">
      <c r="Y5960" s="6" t="s">
        <v>954</v>
      </c>
    </row>
    <row r="5961">
      <c r="Y5961" s="6" t="s">
        <v>954</v>
      </c>
    </row>
    <row r="5962">
      <c r="Y5962" s="6" t="s">
        <v>954</v>
      </c>
    </row>
    <row r="5963">
      <c r="Y5963" s="6" t="s">
        <v>954</v>
      </c>
    </row>
    <row r="5964">
      <c r="Y5964" s="6" t="s">
        <v>954</v>
      </c>
    </row>
    <row r="5965">
      <c r="Y5965" s="6" t="s">
        <v>954</v>
      </c>
    </row>
    <row r="5966">
      <c r="Y5966" s="6" t="s">
        <v>954</v>
      </c>
    </row>
    <row r="5967">
      <c r="Y5967" s="6" t="s">
        <v>954</v>
      </c>
    </row>
    <row r="5968">
      <c r="Y5968" s="6" t="s">
        <v>954</v>
      </c>
    </row>
    <row r="5969">
      <c r="Y5969" s="6" t="s">
        <v>954</v>
      </c>
    </row>
    <row r="5970">
      <c r="Y5970" s="6" t="s">
        <v>954</v>
      </c>
    </row>
    <row r="5971">
      <c r="Y5971" s="6" t="s">
        <v>954</v>
      </c>
    </row>
    <row r="5972">
      <c r="Y5972" s="6" t="s">
        <v>954</v>
      </c>
    </row>
    <row r="5973">
      <c r="Y5973" s="6" t="s">
        <v>954</v>
      </c>
    </row>
    <row r="5974">
      <c r="Y5974" s="6" t="s">
        <v>954</v>
      </c>
    </row>
    <row r="5975">
      <c r="Y5975" s="6" t="s">
        <v>954</v>
      </c>
    </row>
    <row r="5976">
      <c r="Y5976" s="6" t="s">
        <v>954</v>
      </c>
    </row>
    <row r="5977">
      <c r="Y5977" s="6" t="s">
        <v>954</v>
      </c>
    </row>
    <row r="5978">
      <c r="Y5978" s="6" t="s">
        <v>954</v>
      </c>
    </row>
    <row r="5979">
      <c r="Y5979" s="6" t="s">
        <v>954</v>
      </c>
    </row>
    <row r="5980">
      <c r="Y5980" s="6" t="s">
        <v>954</v>
      </c>
    </row>
    <row r="5981">
      <c r="Y5981" s="6" t="s">
        <v>954</v>
      </c>
    </row>
    <row r="5982">
      <c r="Y5982" s="6" t="s">
        <v>954</v>
      </c>
    </row>
    <row r="5983">
      <c r="Y5983" s="6" t="s">
        <v>954</v>
      </c>
    </row>
    <row r="5984">
      <c r="Y5984" s="6" t="s">
        <v>954</v>
      </c>
    </row>
    <row r="5985">
      <c r="Y5985" s="6" t="s">
        <v>954</v>
      </c>
    </row>
    <row r="5986">
      <c r="Y5986" s="6" t="s">
        <v>954</v>
      </c>
    </row>
    <row r="5987">
      <c r="Y5987" s="6" t="s">
        <v>954</v>
      </c>
    </row>
    <row r="5988">
      <c r="Y5988" s="6" t="s">
        <v>954</v>
      </c>
    </row>
    <row r="5989">
      <c r="Y5989" s="6" t="s">
        <v>954</v>
      </c>
    </row>
    <row r="5990">
      <c r="Y5990" s="6" t="s">
        <v>954</v>
      </c>
    </row>
    <row r="5991">
      <c r="Y5991" s="6" t="s">
        <v>954</v>
      </c>
    </row>
    <row r="5992">
      <c r="Y5992" s="6" t="s">
        <v>954</v>
      </c>
    </row>
    <row r="5993">
      <c r="Y5993" s="6" t="s">
        <v>954</v>
      </c>
    </row>
    <row r="5994">
      <c r="Y5994" s="6" t="s">
        <v>954</v>
      </c>
    </row>
    <row r="5995">
      <c r="Y5995" s="6" t="s">
        <v>954</v>
      </c>
    </row>
    <row r="5996">
      <c r="Y5996" s="6" t="s">
        <v>954</v>
      </c>
    </row>
    <row r="5997">
      <c r="Y5997" s="6" t="s">
        <v>954</v>
      </c>
    </row>
    <row r="5998">
      <c r="Y5998" s="6" t="s">
        <v>954</v>
      </c>
    </row>
    <row r="5999">
      <c r="Y5999" s="6" t="s">
        <v>954</v>
      </c>
    </row>
    <row r="6000">
      <c r="Y6000" s="6" t="s">
        <v>954</v>
      </c>
    </row>
    <row r="6001">
      <c r="Y6001" s="6" t="s">
        <v>954</v>
      </c>
    </row>
    <row r="6002">
      <c r="Y6002" s="6" t="s">
        <v>954</v>
      </c>
    </row>
    <row r="6003">
      <c r="Y6003" s="6" t="s">
        <v>954</v>
      </c>
    </row>
    <row r="6004">
      <c r="Y6004" s="6" t="s">
        <v>954</v>
      </c>
    </row>
    <row r="6005">
      <c r="Y6005" s="6" t="s">
        <v>954</v>
      </c>
    </row>
    <row r="6006">
      <c r="Y6006" s="6" t="s">
        <v>954</v>
      </c>
    </row>
    <row r="6007">
      <c r="Y6007" s="6" t="s">
        <v>954</v>
      </c>
    </row>
    <row r="6008">
      <c r="Y6008" s="6" t="s">
        <v>954</v>
      </c>
    </row>
    <row r="6009">
      <c r="Y6009" s="6" t="s">
        <v>954</v>
      </c>
    </row>
    <row r="6010">
      <c r="Y6010" s="6" t="s">
        <v>954</v>
      </c>
    </row>
    <row r="6011">
      <c r="Y6011" s="6" t="s">
        <v>954</v>
      </c>
    </row>
    <row r="6012">
      <c r="Y6012" s="6" t="s">
        <v>954</v>
      </c>
    </row>
    <row r="6013">
      <c r="Y6013" s="6" t="s">
        <v>954</v>
      </c>
    </row>
    <row r="6014">
      <c r="Y6014" s="6" t="s">
        <v>954</v>
      </c>
    </row>
    <row r="6015">
      <c r="Y6015" s="6" t="s">
        <v>954</v>
      </c>
    </row>
    <row r="6016">
      <c r="Y6016" s="6" t="s">
        <v>954</v>
      </c>
    </row>
    <row r="6017">
      <c r="Y6017" s="6" t="s">
        <v>954</v>
      </c>
    </row>
    <row r="6018">
      <c r="Y6018" s="6" t="s">
        <v>954</v>
      </c>
    </row>
    <row r="6019">
      <c r="Y6019" s="6" t="s">
        <v>954</v>
      </c>
    </row>
    <row r="6020">
      <c r="Y6020" s="6" t="s">
        <v>954</v>
      </c>
    </row>
    <row r="6021">
      <c r="Y6021" s="6" t="s">
        <v>954</v>
      </c>
    </row>
    <row r="6022">
      <c r="Y6022" s="6" t="s">
        <v>954</v>
      </c>
    </row>
    <row r="6023">
      <c r="Y6023" s="6" t="s">
        <v>954</v>
      </c>
    </row>
    <row r="6024">
      <c r="Y6024" s="6" t="s">
        <v>954</v>
      </c>
    </row>
    <row r="6025">
      <c r="Y6025" s="6" t="s">
        <v>954</v>
      </c>
    </row>
    <row r="6026">
      <c r="Y6026" s="6" t="s">
        <v>954</v>
      </c>
    </row>
    <row r="6027">
      <c r="Y6027" s="6" t="s">
        <v>954</v>
      </c>
    </row>
    <row r="6028">
      <c r="Y6028" s="6" t="s">
        <v>954</v>
      </c>
    </row>
    <row r="6029">
      <c r="Y6029" s="6" t="s">
        <v>954</v>
      </c>
    </row>
    <row r="6030">
      <c r="Y6030" s="6" t="s">
        <v>954</v>
      </c>
    </row>
    <row r="6031">
      <c r="Y6031" s="6" t="s">
        <v>954</v>
      </c>
    </row>
    <row r="6032">
      <c r="Y6032" s="6" t="s">
        <v>954</v>
      </c>
    </row>
    <row r="6033">
      <c r="Y6033" s="6" t="s">
        <v>954</v>
      </c>
    </row>
    <row r="6034">
      <c r="Y6034" s="6" t="s">
        <v>954</v>
      </c>
    </row>
    <row r="6035">
      <c r="Y6035" s="6" t="s">
        <v>954</v>
      </c>
    </row>
    <row r="6036">
      <c r="Y6036" s="6" t="s">
        <v>954</v>
      </c>
    </row>
    <row r="6037">
      <c r="Y6037" s="6" t="s">
        <v>954</v>
      </c>
    </row>
    <row r="6038">
      <c r="Y6038" s="6" t="s">
        <v>954</v>
      </c>
    </row>
    <row r="6039">
      <c r="Y6039" s="6" t="s">
        <v>954</v>
      </c>
    </row>
    <row r="6040">
      <c r="Y6040" s="6" t="s">
        <v>954</v>
      </c>
    </row>
    <row r="6041">
      <c r="Y6041" s="6" t="s">
        <v>954</v>
      </c>
    </row>
    <row r="6042">
      <c r="Y6042" s="6" t="s">
        <v>954</v>
      </c>
    </row>
    <row r="6043">
      <c r="Y6043" s="6" t="s">
        <v>954</v>
      </c>
    </row>
    <row r="6044">
      <c r="Y6044" s="6" t="s">
        <v>954</v>
      </c>
    </row>
    <row r="6045">
      <c r="Y6045" s="6" t="s">
        <v>954</v>
      </c>
    </row>
    <row r="6046">
      <c r="Y6046" s="6" t="s">
        <v>954</v>
      </c>
    </row>
    <row r="6047">
      <c r="Y6047" s="6" t="s">
        <v>954</v>
      </c>
    </row>
    <row r="6048">
      <c r="Y6048" s="6" t="s">
        <v>954</v>
      </c>
    </row>
    <row r="6049">
      <c r="Y6049" s="6" t="s">
        <v>954</v>
      </c>
    </row>
    <row r="6050">
      <c r="Y6050" s="6" t="s">
        <v>954</v>
      </c>
    </row>
    <row r="6051">
      <c r="Y6051" s="6" t="s">
        <v>954</v>
      </c>
    </row>
    <row r="6052">
      <c r="Y6052" s="6" t="s">
        <v>954</v>
      </c>
    </row>
    <row r="6053">
      <c r="Y6053" s="6" t="s">
        <v>954</v>
      </c>
    </row>
    <row r="6054">
      <c r="Y6054" s="6" t="s">
        <v>954</v>
      </c>
    </row>
    <row r="6055">
      <c r="Y6055" s="6" t="s">
        <v>954</v>
      </c>
    </row>
    <row r="6056">
      <c r="Y6056" s="6" t="s">
        <v>954</v>
      </c>
    </row>
    <row r="6057">
      <c r="Y6057" s="6" t="s">
        <v>954</v>
      </c>
    </row>
    <row r="6058">
      <c r="Y6058" s="6" t="s">
        <v>954</v>
      </c>
    </row>
    <row r="6059">
      <c r="Y6059" s="6" t="s">
        <v>954</v>
      </c>
    </row>
    <row r="6060">
      <c r="Y6060" s="6" t="s">
        <v>954</v>
      </c>
    </row>
    <row r="6061">
      <c r="Y6061" s="6" t="s">
        <v>954</v>
      </c>
    </row>
    <row r="6062">
      <c r="Y6062" s="6" t="s">
        <v>954</v>
      </c>
    </row>
    <row r="6063">
      <c r="Y6063" s="6" t="s">
        <v>954</v>
      </c>
    </row>
    <row r="6064">
      <c r="Y6064" s="6" t="s">
        <v>954</v>
      </c>
    </row>
    <row r="6065">
      <c r="Y6065" s="6" t="s">
        <v>954</v>
      </c>
    </row>
    <row r="6066">
      <c r="Y6066" s="6" t="s">
        <v>954</v>
      </c>
    </row>
    <row r="6067">
      <c r="Y6067" s="6" t="s">
        <v>954</v>
      </c>
    </row>
    <row r="6068">
      <c r="Y6068" s="6" t="s">
        <v>954</v>
      </c>
    </row>
    <row r="6069">
      <c r="Y6069" s="6" t="s">
        <v>954</v>
      </c>
    </row>
    <row r="6070">
      <c r="Y6070" s="6" t="s">
        <v>954</v>
      </c>
    </row>
    <row r="6071">
      <c r="Y6071" s="6" t="s">
        <v>954</v>
      </c>
    </row>
    <row r="6072">
      <c r="Y6072" s="6" t="s">
        <v>954</v>
      </c>
    </row>
    <row r="6073">
      <c r="Y6073" s="6" t="s">
        <v>954</v>
      </c>
    </row>
    <row r="6074">
      <c r="Y6074" s="6" t="s">
        <v>954</v>
      </c>
    </row>
    <row r="6075">
      <c r="Y6075" s="6" t="s">
        <v>954</v>
      </c>
    </row>
    <row r="6076">
      <c r="Y6076" s="6" t="s">
        <v>954</v>
      </c>
    </row>
    <row r="6077">
      <c r="Y6077" s="6" t="s">
        <v>954</v>
      </c>
    </row>
    <row r="6078">
      <c r="Y6078" s="6" t="s">
        <v>954</v>
      </c>
    </row>
    <row r="6079">
      <c r="Y6079" s="6" t="s">
        <v>954</v>
      </c>
    </row>
    <row r="6080">
      <c r="Y6080" s="6" t="s">
        <v>954</v>
      </c>
    </row>
    <row r="6081">
      <c r="Y6081" s="6" t="s">
        <v>954</v>
      </c>
    </row>
    <row r="6082">
      <c r="Y6082" s="6" t="s">
        <v>954</v>
      </c>
    </row>
    <row r="6083">
      <c r="Y6083" s="6" t="s">
        <v>954</v>
      </c>
    </row>
    <row r="6084">
      <c r="Y6084" s="6" t="s">
        <v>954</v>
      </c>
    </row>
    <row r="6085">
      <c r="Y6085" s="6" t="s">
        <v>954</v>
      </c>
    </row>
    <row r="6086">
      <c r="Y6086" s="6" t="s">
        <v>954</v>
      </c>
    </row>
    <row r="6087">
      <c r="Y6087" s="6" t="s">
        <v>954</v>
      </c>
    </row>
    <row r="6088">
      <c r="Y6088" s="6" t="s">
        <v>954</v>
      </c>
    </row>
    <row r="6089">
      <c r="Y6089" s="6" t="s">
        <v>954</v>
      </c>
    </row>
    <row r="6090">
      <c r="Y6090" s="6" t="s">
        <v>954</v>
      </c>
    </row>
    <row r="6091">
      <c r="Y6091" s="6" t="s">
        <v>954</v>
      </c>
    </row>
    <row r="6092">
      <c r="Y6092" s="6" t="s">
        <v>954</v>
      </c>
    </row>
    <row r="6093">
      <c r="Y6093" s="6" t="s">
        <v>954</v>
      </c>
    </row>
    <row r="6094">
      <c r="Y6094" s="6" t="s">
        <v>954</v>
      </c>
    </row>
    <row r="6095">
      <c r="Y6095" s="6" t="s">
        <v>954</v>
      </c>
    </row>
    <row r="6096">
      <c r="Y6096" s="6" t="s">
        <v>954</v>
      </c>
    </row>
    <row r="6097">
      <c r="Y6097" s="6" t="s">
        <v>954</v>
      </c>
    </row>
    <row r="6098">
      <c r="Y6098" s="6" t="s">
        <v>954</v>
      </c>
    </row>
    <row r="6099">
      <c r="Y6099" s="6" t="s">
        <v>954</v>
      </c>
    </row>
    <row r="6100">
      <c r="Y6100" s="6" t="s">
        <v>954</v>
      </c>
    </row>
    <row r="6101">
      <c r="Y6101" s="6" t="s">
        <v>954</v>
      </c>
    </row>
    <row r="6102">
      <c r="Y6102" s="6" t="s">
        <v>954</v>
      </c>
    </row>
    <row r="6103">
      <c r="Y6103" s="6" t="s">
        <v>954</v>
      </c>
    </row>
    <row r="6104">
      <c r="Y6104" s="6" t="s">
        <v>954</v>
      </c>
    </row>
    <row r="6105">
      <c r="Y6105" s="6" t="s">
        <v>954</v>
      </c>
    </row>
    <row r="6106">
      <c r="Y6106" s="6" t="s">
        <v>954</v>
      </c>
    </row>
    <row r="6107">
      <c r="Y6107" s="6" t="s">
        <v>954</v>
      </c>
    </row>
    <row r="6108">
      <c r="Y6108" s="6" t="s">
        <v>954</v>
      </c>
    </row>
    <row r="6109">
      <c r="Y6109" s="6" t="s">
        <v>954</v>
      </c>
    </row>
    <row r="6110">
      <c r="Y6110" s="6" t="s">
        <v>954</v>
      </c>
    </row>
    <row r="6111">
      <c r="Y6111" s="6" t="s">
        <v>954</v>
      </c>
    </row>
    <row r="6112">
      <c r="Y6112" s="6" t="s">
        <v>954</v>
      </c>
    </row>
    <row r="6113">
      <c r="Y6113" s="6" t="s">
        <v>954</v>
      </c>
    </row>
    <row r="6114">
      <c r="Y6114" s="6" t="s">
        <v>954</v>
      </c>
    </row>
    <row r="6115">
      <c r="Y6115" s="6" t="s">
        <v>954</v>
      </c>
    </row>
    <row r="6116">
      <c r="Y6116" s="6" t="s">
        <v>954</v>
      </c>
    </row>
    <row r="6117">
      <c r="Y6117" s="6" t="s">
        <v>954</v>
      </c>
    </row>
    <row r="6118">
      <c r="Y6118" s="6" t="s">
        <v>954</v>
      </c>
    </row>
    <row r="6119">
      <c r="Y6119" s="6" t="s">
        <v>954</v>
      </c>
    </row>
    <row r="6120">
      <c r="Y6120" s="6" t="s">
        <v>954</v>
      </c>
    </row>
    <row r="6121">
      <c r="Y6121" s="6" t="s">
        <v>954</v>
      </c>
    </row>
    <row r="6122">
      <c r="Y6122" s="6" t="s">
        <v>954</v>
      </c>
    </row>
    <row r="6123">
      <c r="Y6123" s="6" t="s">
        <v>954</v>
      </c>
    </row>
    <row r="6124">
      <c r="Y6124" s="6" t="s">
        <v>954</v>
      </c>
    </row>
    <row r="6125">
      <c r="Y6125" s="6" t="s">
        <v>954</v>
      </c>
    </row>
    <row r="6126">
      <c r="Y6126" s="6" t="s">
        <v>954</v>
      </c>
    </row>
    <row r="6127">
      <c r="Y6127" s="6" t="s">
        <v>954</v>
      </c>
    </row>
    <row r="6128">
      <c r="Y6128" s="6" t="s">
        <v>954</v>
      </c>
    </row>
    <row r="6129">
      <c r="Y6129" s="6" t="s">
        <v>954</v>
      </c>
    </row>
    <row r="6130">
      <c r="Y6130" s="6" t="s">
        <v>954</v>
      </c>
    </row>
    <row r="6131">
      <c r="Y6131" s="6" t="s">
        <v>954</v>
      </c>
    </row>
    <row r="6132">
      <c r="Y6132" s="6" t="s">
        <v>954</v>
      </c>
    </row>
    <row r="6133">
      <c r="Y6133" s="6" t="s">
        <v>954</v>
      </c>
    </row>
    <row r="6134">
      <c r="Y6134" s="6" t="s">
        <v>954</v>
      </c>
    </row>
    <row r="6135">
      <c r="Y6135" s="6" t="s">
        <v>954</v>
      </c>
    </row>
    <row r="6136">
      <c r="Y6136" s="6" t="s">
        <v>954</v>
      </c>
    </row>
    <row r="6137">
      <c r="Y6137" s="6" t="s">
        <v>954</v>
      </c>
    </row>
    <row r="6138">
      <c r="Y6138" s="6" t="s">
        <v>954</v>
      </c>
    </row>
    <row r="6139">
      <c r="Y6139" s="6" t="s">
        <v>954</v>
      </c>
    </row>
    <row r="6140">
      <c r="Y6140" s="6" t="s">
        <v>954</v>
      </c>
    </row>
    <row r="6141">
      <c r="Y6141" s="6" t="s">
        <v>954</v>
      </c>
    </row>
    <row r="6142">
      <c r="Y6142" s="6" t="s">
        <v>954</v>
      </c>
    </row>
    <row r="6143">
      <c r="Y6143" s="6" t="s">
        <v>954</v>
      </c>
    </row>
    <row r="6144">
      <c r="Y6144" s="6" t="s">
        <v>954</v>
      </c>
    </row>
    <row r="6145">
      <c r="Y6145" s="6" t="s">
        <v>954</v>
      </c>
    </row>
    <row r="6146">
      <c r="Y6146" s="6" t="s">
        <v>954</v>
      </c>
    </row>
    <row r="6147">
      <c r="Y6147" s="6" t="s">
        <v>954</v>
      </c>
    </row>
    <row r="6148">
      <c r="Y6148" s="6" t="s">
        <v>954</v>
      </c>
    </row>
    <row r="6149">
      <c r="Y6149" s="6" t="s">
        <v>954</v>
      </c>
    </row>
    <row r="6150">
      <c r="Y6150" s="6" t="s">
        <v>954</v>
      </c>
    </row>
    <row r="6151">
      <c r="Y6151" s="6" t="s">
        <v>954</v>
      </c>
    </row>
    <row r="6152">
      <c r="Y6152" s="6" t="s">
        <v>954</v>
      </c>
    </row>
    <row r="6153">
      <c r="Y6153" s="6" t="s">
        <v>954</v>
      </c>
    </row>
    <row r="6154">
      <c r="Y6154" s="6" t="s">
        <v>954</v>
      </c>
    </row>
    <row r="6155">
      <c r="Y6155" s="6" t="s">
        <v>954</v>
      </c>
    </row>
    <row r="6156">
      <c r="Y6156" s="6" t="s">
        <v>954</v>
      </c>
    </row>
    <row r="6157">
      <c r="Y6157" s="6" t="s">
        <v>954</v>
      </c>
    </row>
    <row r="6158">
      <c r="Y6158" s="6" t="s">
        <v>954</v>
      </c>
    </row>
    <row r="6159">
      <c r="Y6159" s="6" t="s">
        <v>954</v>
      </c>
    </row>
    <row r="6160">
      <c r="Y6160" s="6" t="s">
        <v>954</v>
      </c>
    </row>
    <row r="6161">
      <c r="Y6161" s="6" t="s">
        <v>954</v>
      </c>
    </row>
    <row r="6162">
      <c r="Y6162" s="6" t="s">
        <v>954</v>
      </c>
    </row>
    <row r="6163">
      <c r="Y6163" s="6" t="s">
        <v>954</v>
      </c>
    </row>
    <row r="6164">
      <c r="Y6164" s="6" t="s">
        <v>954</v>
      </c>
    </row>
    <row r="6165">
      <c r="Y6165" s="6" t="s">
        <v>954</v>
      </c>
    </row>
    <row r="6166">
      <c r="Y6166" s="6" t="s">
        <v>954</v>
      </c>
    </row>
    <row r="6167">
      <c r="Y6167" s="6" t="s">
        <v>954</v>
      </c>
    </row>
    <row r="6168">
      <c r="Y6168" s="6" t="s">
        <v>954</v>
      </c>
    </row>
    <row r="6169">
      <c r="Y6169" s="6" t="s">
        <v>954</v>
      </c>
    </row>
    <row r="6170">
      <c r="Y6170" s="6" t="s">
        <v>954</v>
      </c>
    </row>
    <row r="6171">
      <c r="Y6171" s="6" t="s">
        <v>954</v>
      </c>
    </row>
    <row r="6172">
      <c r="Y6172" s="6" t="s">
        <v>954</v>
      </c>
    </row>
    <row r="6173">
      <c r="Y6173" s="6" t="s">
        <v>954</v>
      </c>
    </row>
    <row r="6174">
      <c r="Y6174" s="6" t="s">
        <v>954</v>
      </c>
    </row>
    <row r="6175">
      <c r="Y6175" s="6" t="s">
        <v>954</v>
      </c>
    </row>
    <row r="6176">
      <c r="Y6176" s="6" t="s">
        <v>954</v>
      </c>
    </row>
    <row r="6177">
      <c r="Y6177" s="6" t="s">
        <v>954</v>
      </c>
    </row>
    <row r="6178">
      <c r="Y6178" s="6" t="s">
        <v>954</v>
      </c>
    </row>
    <row r="6179">
      <c r="Y6179" s="6" t="s">
        <v>954</v>
      </c>
    </row>
    <row r="6180">
      <c r="Y6180" s="6" t="s">
        <v>954</v>
      </c>
    </row>
    <row r="6181">
      <c r="Y6181" s="6" t="s">
        <v>954</v>
      </c>
    </row>
    <row r="6182">
      <c r="Y6182" s="6" t="s">
        <v>954</v>
      </c>
    </row>
    <row r="6183">
      <c r="Y6183" s="6" t="s">
        <v>954</v>
      </c>
    </row>
    <row r="6184">
      <c r="Y6184" s="6" t="s">
        <v>954</v>
      </c>
    </row>
    <row r="6185">
      <c r="Y6185" s="6" t="s">
        <v>954</v>
      </c>
    </row>
    <row r="6186">
      <c r="Y6186" s="6" t="s">
        <v>954</v>
      </c>
    </row>
    <row r="6187">
      <c r="Y6187" s="6" t="s">
        <v>954</v>
      </c>
    </row>
    <row r="6188">
      <c r="Y6188" s="6" t="s">
        <v>954</v>
      </c>
    </row>
    <row r="6189">
      <c r="Y6189" s="6" t="s">
        <v>954</v>
      </c>
    </row>
    <row r="6190">
      <c r="Y6190" s="6" t="s">
        <v>954</v>
      </c>
    </row>
    <row r="6191">
      <c r="Y6191" s="6" t="s">
        <v>954</v>
      </c>
    </row>
    <row r="6192">
      <c r="Y6192" s="6" t="s">
        <v>954</v>
      </c>
    </row>
    <row r="6193">
      <c r="Y6193" s="6" t="s">
        <v>954</v>
      </c>
    </row>
    <row r="6194">
      <c r="Y6194" s="6" t="s">
        <v>954</v>
      </c>
    </row>
    <row r="6195">
      <c r="Y6195" s="6" t="s">
        <v>954</v>
      </c>
    </row>
    <row r="6196">
      <c r="Y6196" s="6" t="s">
        <v>954</v>
      </c>
    </row>
    <row r="6197">
      <c r="Y6197" s="6" t="s">
        <v>954</v>
      </c>
    </row>
    <row r="6198">
      <c r="Y6198" s="6" t="s">
        <v>954</v>
      </c>
    </row>
    <row r="6199">
      <c r="Y6199" s="6" t="s">
        <v>954</v>
      </c>
    </row>
    <row r="6200">
      <c r="Y6200" s="6" t="s">
        <v>954</v>
      </c>
    </row>
    <row r="6201">
      <c r="Y6201" s="6" t="s">
        <v>954</v>
      </c>
    </row>
    <row r="6202">
      <c r="Y6202" s="6" t="s">
        <v>954</v>
      </c>
    </row>
    <row r="6203">
      <c r="Y6203" s="6" t="s">
        <v>954</v>
      </c>
    </row>
    <row r="6204">
      <c r="Y6204" s="6" t="s">
        <v>954</v>
      </c>
    </row>
    <row r="6205">
      <c r="Y6205" s="6" t="s">
        <v>954</v>
      </c>
    </row>
    <row r="6206">
      <c r="Y6206" s="6" t="s">
        <v>954</v>
      </c>
    </row>
    <row r="6207">
      <c r="Y6207" s="6" t="s">
        <v>954</v>
      </c>
    </row>
    <row r="6208">
      <c r="Y6208" s="6" t="s">
        <v>954</v>
      </c>
    </row>
    <row r="6209">
      <c r="Y6209" s="6" t="s">
        <v>954</v>
      </c>
    </row>
    <row r="6210">
      <c r="Y6210" s="6" t="s">
        <v>954</v>
      </c>
    </row>
    <row r="6211">
      <c r="Y6211" s="6" t="s">
        <v>954</v>
      </c>
    </row>
    <row r="6212">
      <c r="Y6212" s="6" t="s">
        <v>954</v>
      </c>
    </row>
    <row r="6213">
      <c r="Y6213" s="6" t="s">
        <v>954</v>
      </c>
    </row>
    <row r="6214">
      <c r="Y6214" s="6" t="s">
        <v>954</v>
      </c>
    </row>
    <row r="6215">
      <c r="Y6215" s="6" t="s">
        <v>954</v>
      </c>
    </row>
    <row r="6216">
      <c r="Y6216" s="6" t="s">
        <v>954</v>
      </c>
    </row>
    <row r="6217">
      <c r="Y6217" s="6" t="s">
        <v>954</v>
      </c>
    </row>
    <row r="6218">
      <c r="Y6218" s="6" t="s">
        <v>954</v>
      </c>
    </row>
    <row r="6219">
      <c r="Y6219" s="6" t="s">
        <v>954</v>
      </c>
    </row>
    <row r="6220">
      <c r="Y6220" s="6" t="s">
        <v>954</v>
      </c>
    </row>
    <row r="6221">
      <c r="Y6221" s="6" t="s">
        <v>954</v>
      </c>
    </row>
    <row r="6222">
      <c r="Y6222" s="6" t="s">
        <v>954</v>
      </c>
    </row>
    <row r="6223">
      <c r="Y6223" s="6" t="s">
        <v>954</v>
      </c>
    </row>
    <row r="6224">
      <c r="Y6224" s="6" t="s">
        <v>954</v>
      </c>
    </row>
    <row r="6225">
      <c r="Y6225" s="6" t="s">
        <v>954</v>
      </c>
    </row>
    <row r="6226">
      <c r="Y6226" s="6" t="s">
        <v>954</v>
      </c>
    </row>
    <row r="6227">
      <c r="Y6227" s="6" t="s">
        <v>954</v>
      </c>
    </row>
    <row r="6228">
      <c r="Y6228" s="6" t="s">
        <v>954</v>
      </c>
    </row>
    <row r="6229">
      <c r="Y6229" s="6" t="s">
        <v>954</v>
      </c>
    </row>
    <row r="6230">
      <c r="Y6230" s="6" t="s">
        <v>954</v>
      </c>
    </row>
    <row r="6231">
      <c r="Y6231" s="6" t="s">
        <v>954</v>
      </c>
    </row>
    <row r="6232">
      <c r="Y6232" s="6" t="s">
        <v>954</v>
      </c>
    </row>
    <row r="6233">
      <c r="Y6233" s="6" t="s">
        <v>954</v>
      </c>
    </row>
    <row r="6234">
      <c r="Y6234" s="6" t="s">
        <v>954</v>
      </c>
    </row>
    <row r="6235">
      <c r="Y6235" s="6" t="s">
        <v>954</v>
      </c>
    </row>
    <row r="6236">
      <c r="Y6236" s="6" t="s">
        <v>954</v>
      </c>
    </row>
    <row r="6237">
      <c r="Y6237" s="6" t="s">
        <v>954</v>
      </c>
    </row>
    <row r="6238">
      <c r="Y6238" s="6" t="s">
        <v>954</v>
      </c>
    </row>
    <row r="6239">
      <c r="Y6239" s="6" t="s">
        <v>954</v>
      </c>
    </row>
    <row r="6240">
      <c r="Y6240" s="6" t="s">
        <v>954</v>
      </c>
    </row>
    <row r="6241">
      <c r="Y6241" s="6" t="s">
        <v>954</v>
      </c>
    </row>
    <row r="6242">
      <c r="Y6242" s="6" t="s">
        <v>954</v>
      </c>
    </row>
    <row r="6243">
      <c r="Y6243" s="6" t="s">
        <v>954</v>
      </c>
    </row>
    <row r="6244">
      <c r="Y6244" s="6" t="s">
        <v>954</v>
      </c>
    </row>
    <row r="6245">
      <c r="Y6245" s="6" t="s">
        <v>954</v>
      </c>
    </row>
    <row r="6246">
      <c r="Y6246" s="6" t="s">
        <v>954</v>
      </c>
    </row>
    <row r="6247">
      <c r="Y6247" s="6" t="s">
        <v>954</v>
      </c>
    </row>
    <row r="6248">
      <c r="Y6248" s="6" t="s">
        <v>954</v>
      </c>
    </row>
    <row r="6249">
      <c r="Y6249" s="6" t="s">
        <v>954</v>
      </c>
    </row>
    <row r="6250">
      <c r="Y6250" s="6" t="s">
        <v>954</v>
      </c>
    </row>
    <row r="6251">
      <c r="Y6251" s="6" t="s">
        <v>954</v>
      </c>
    </row>
    <row r="6252">
      <c r="Y6252" s="6" t="s">
        <v>954</v>
      </c>
    </row>
    <row r="6253">
      <c r="Y6253" s="6" t="s">
        <v>954</v>
      </c>
    </row>
    <row r="6254">
      <c r="Y6254" s="6" t="s">
        <v>954</v>
      </c>
    </row>
    <row r="6255">
      <c r="Y6255" s="6" t="s">
        <v>954</v>
      </c>
    </row>
    <row r="6256">
      <c r="Y6256" s="6" t="s">
        <v>954</v>
      </c>
    </row>
    <row r="6257">
      <c r="Y6257" s="6" t="s">
        <v>954</v>
      </c>
    </row>
    <row r="6258">
      <c r="Y6258" s="6" t="s">
        <v>954</v>
      </c>
    </row>
    <row r="6259">
      <c r="Y6259" s="6" t="s">
        <v>954</v>
      </c>
    </row>
    <row r="6260">
      <c r="Y6260" s="6" t="s">
        <v>954</v>
      </c>
    </row>
    <row r="6261">
      <c r="Y6261" s="6" t="s">
        <v>954</v>
      </c>
    </row>
    <row r="6262">
      <c r="Y6262" s="6" t="s">
        <v>954</v>
      </c>
    </row>
    <row r="6263">
      <c r="Y6263" s="6" t="s">
        <v>954</v>
      </c>
    </row>
    <row r="6264">
      <c r="Y6264" s="6" t="s">
        <v>954</v>
      </c>
    </row>
    <row r="6265">
      <c r="Y6265" s="6" t="s">
        <v>954</v>
      </c>
    </row>
    <row r="6266">
      <c r="Y6266" s="6" t="s">
        <v>954</v>
      </c>
    </row>
    <row r="6267">
      <c r="Y6267" s="6" t="s">
        <v>954</v>
      </c>
    </row>
    <row r="6268">
      <c r="Y6268" s="6" t="s">
        <v>954</v>
      </c>
    </row>
    <row r="6269">
      <c r="Y6269" s="6" t="s">
        <v>954</v>
      </c>
    </row>
    <row r="6270">
      <c r="Y6270" s="6" t="s">
        <v>954</v>
      </c>
    </row>
    <row r="6271">
      <c r="Y6271" s="6" t="s">
        <v>954</v>
      </c>
    </row>
    <row r="6272">
      <c r="Y6272" s="6" t="s">
        <v>954</v>
      </c>
    </row>
    <row r="6273">
      <c r="Y6273" s="6" t="s">
        <v>954</v>
      </c>
    </row>
    <row r="6274">
      <c r="Y6274" s="6" t="s">
        <v>954</v>
      </c>
    </row>
    <row r="6275">
      <c r="Y6275" s="6" t="s">
        <v>954</v>
      </c>
    </row>
    <row r="6276">
      <c r="Y6276" s="6" t="s">
        <v>954</v>
      </c>
    </row>
    <row r="6277">
      <c r="Y6277" s="6" t="s">
        <v>954</v>
      </c>
    </row>
    <row r="6278">
      <c r="Y6278" s="6" t="s">
        <v>954</v>
      </c>
    </row>
    <row r="6279">
      <c r="Y6279" s="6" t="s">
        <v>954</v>
      </c>
    </row>
    <row r="6280">
      <c r="Y6280" s="6" t="s">
        <v>954</v>
      </c>
    </row>
    <row r="6281">
      <c r="Y6281" s="6" t="s">
        <v>954</v>
      </c>
    </row>
    <row r="6282">
      <c r="Y6282" s="6" t="s">
        <v>954</v>
      </c>
    </row>
    <row r="6283">
      <c r="Y6283" s="6" t="s">
        <v>954</v>
      </c>
    </row>
    <row r="6284">
      <c r="Y6284" s="6" t="s">
        <v>954</v>
      </c>
    </row>
    <row r="6285">
      <c r="Y6285" s="6" t="s">
        <v>954</v>
      </c>
    </row>
    <row r="6286">
      <c r="Y6286" s="6" t="s">
        <v>954</v>
      </c>
    </row>
    <row r="6287">
      <c r="Y6287" s="6" t="s">
        <v>954</v>
      </c>
    </row>
    <row r="6288">
      <c r="Y6288" s="6" t="s">
        <v>954</v>
      </c>
    </row>
    <row r="6289">
      <c r="Y6289" s="6" t="s">
        <v>954</v>
      </c>
    </row>
    <row r="6290">
      <c r="Y6290" s="6" t="s">
        <v>954</v>
      </c>
    </row>
    <row r="6291">
      <c r="Y6291" s="6" t="s">
        <v>954</v>
      </c>
    </row>
    <row r="6292">
      <c r="Y6292" s="6" t="s">
        <v>954</v>
      </c>
    </row>
    <row r="6293">
      <c r="Y6293" s="6" t="s">
        <v>954</v>
      </c>
    </row>
    <row r="6294">
      <c r="Y6294" s="6" t="s">
        <v>954</v>
      </c>
    </row>
    <row r="6295">
      <c r="Y6295" s="6" t="s">
        <v>954</v>
      </c>
    </row>
    <row r="6296">
      <c r="Y6296" s="6" t="s">
        <v>954</v>
      </c>
    </row>
    <row r="6297">
      <c r="Y6297" s="6" t="s">
        <v>954</v>
      </c>
    </row>
    <row r="6298">
      <c r="Y6298" s="6" t="s">
        <v>954</v>
      </c>
    </row>
    <row r="6299">
      <c r="Y6299" s="6" t="s">
        <v>954</v>
      </c>
    </row>
    <row r="6300">
      <c r="Y6300" s="6" t="s">
        <v>954</v>
      </c>
    </row>
    <row r="6301">
      <c r="Y6301" s="6" t="s">
        <v>954</v>
      </c>
    </row>
    <row r="6302">
      <c r="Y6302" s="6" t="s">
        <v>954</v>
      </c>
    </row>
    <row r="6303">
      <c r="Y6303" s="6" t="s">
        <v>954</v>
      </c>
    </row>
    <row r="6304">
      <c r="Y6304" s="6" t="s">
        <v>954</v>
      </c>
    </row>
    <row r="6305">
      <c r="Y6305" s="6" t="s">
        <v>954</v>
      </c>
    </row>
    <row r="6306">
      <c r="Y6306" s="6" t="s">
        <v>954</v>
      </c>
    </row>
    <row r="6307">
      <c r="Y6307" s="6" t="s">
        <v>954</v>
      </c>
    </row>
    <row r="6308">
      <c r="Y6308" s="6" t="s">
        <v>954</v>
      </c>
    </row>
    <row r="6309">
      <c r="Y6309" s="6" t="s">
        <v>954</v>
      </c>
    </row>
    <row r="6310">
      <c r="Y6310" s="6" t="s">
        <v>954</v>
      </c>
    </row>
    <row r="6311">
      <c r="Y6311" s="6" t="s">
        <v>954</v>
      </c>
    </row>
    <row r="6312">
      <c r="Y6312" s="6" t="s">
        <v>954</v>
      </c>
    </row>
    <row r="6313">
      <c r="Y6313" s="6" t="s">
        <v>954</v>
      </c>
    </row>
    <row r="6314">
      <c r="Y6314" s="6" t="s">
        <v>954</v>
      </c>
    </row>
    <row r="6315">
      <c r="Y6315" s="6" t="s">
        <v>954</v>
      </c>
    </row>
    <row r="6316">
      <c r="Y6316" s="6" t="s">
        <v>954</v>
      </c>
    </row>
    <row r="6317">
      <c r="Y6317" s="6" t="s">
        <v>954</v>
      </c>
    </row>
    <row r="6318">
      <c r="Y6318" s="6" t="s">
        <v>954</v>
      </c>
    </row>
    <row r="6319">
      <c r="Y6319" s="6" t="s">
        <v>954</v>
      </c>
    </row>
    <row r="6320">
      <c r="Y6320" s="6" t="s">
        <v>954</v>
      </c>
    </row>
    <row r="6321">
      <c r="Y6321" s="6" t="s">
        <v>954</v>
      </c>
    </row>
    <row r="6322">
      <c r="Y6322" s="6" t="s">
        <v>954</v>
      </c>
    </row>
    <row r="6323">
      <c r="Y6323" s="6" t="s">
        <v>954</v>
      </c>
    </row>
    <row r="6324">
      <c r="Y6324" s="6" t="s">
        <v>954</v>
      </c>
    </row>
    <row r="6325">
      <c r="Y6325" s="6" t="s">
        <v>954</v>
      </c>
    </row>
    <row r="6326">
      <c r="Y6326" s="6" t="s">
        <v>954</v>
      </c>
    </row>
    <row r="6327">
      <c r="Y6327" s="6" t="s">
        <v>954</v>
      </c>
    </row>
    <row r="6328">
      <c r="Y6328" s="6" t="s">
        <v>954</v>
      </c>
    </row>
    <row r="6329">
      <c r="Y6329" s="6" t="s">
        <v>954</v>
      </c>
    </row>
    <row r="6330">
      <c r="Y6330" s="6" t="s">
        <v>954</v>
      </c>
    </row>
    <row r="6331">
      <c r="Y6331" s="6" t="s">
        <v>954</v>
      </c>
    </row>
    <row r="6332">
      <c r="Y6332" s="6" t="s">
        <v>954</v>
      </c>
    </row>
    <row r="6333">
      <c r="Y6333" s="6" t="s">
        <v>954</v>
      </c>
    </row>
    <row r="6334">
      <c r="Y6334" s="6" t="s">
        <v>954</v>
      </c>
    </row>
    <row r="6335">
      <c r="Y6335" s="6" t="s">
        <v>954</v>
      </c>
    </row>
    <row r="6336">
      <c r="Y6336" s="6" t="s">
        <v>954</v>
      </c>
    </row>
    <row r="6337">
      <c r="Y6337" s="6" t="s">
        <v>954</v>
      </c>
    </row>
    <row r="6338">
      <c r="Y6338" s="6" t="s">
        <v>954</v>
      </c>
    </row>
    <row r="6339">
      <c r="Y6339" s="6" t="s">
        <v>954</v>
      </c>
    </row>
    <row r="6340">
      <c r="Y6340" s="6" t="s">
        <v>954</v>
      </c>
    </row>
    <row r="6341">
      <c r="Y6341" s="6" t="s">
        <v>954</v>
      </c>
    </row>
    <row r="6342">
      <c r="Y6342" s="6" t="s">
        <v>954</v>
      </c>
    </row>
    <row r="6343">
      <c r="Y6343" s="6" t="s">
        <v>954</v>
      </c>
    </row>
    <row r="6344">
      <c r="Y6344" s="6" t="s">
        <v>954</v>
      </c>
    </row>
    <row r="6345">
      <c r="Y6345" s="6" t="s">
        <v>954</v>
      </c>
    </row>
    <row r="6346">
      <c r="Y6346" s="6" t="s">
        <v>954</v>
      </c>
    </row>
    <row r="6347">
      <c r="Y6347" s="6" t="s">
        <v>954</v>
      </c>
    </row>
    <row r="6348">
      <c r="Y6348" s="6" t="s">
        <v>954</v>
      </c>
    </row>
    <row r="6349">
      <c r="Y6349" s="6" t="s">
        <v>954</v>
      </c>
    </row>
    <row r="6350">
      <c r="Y6350" s="6" t="s">
        <v>954</v>
      </c>
    </row>
    <row r="6351">
      <c r="Y6351" s="6" t="s">
        <v>954</v>
      </c>
    </row>
    <row r="6352">
      <c r="Y6352" s="6" t="s">
        <v>954</v>
      </c>
    </row>
    <row r="6353">
      <c r="Y6353" s="6" t="s">
        <v>954</v>
      </c>
    </row>
    <row r="6354">
      <c r="Y6354" s="6" t="s">
        <v>954</v>
      </c>
    </row>
    <row r="6355">
      <c r="Y6355" s="6" t="s">
        <v>954</v>
      </c>
    </row>
    <row r="6356">
      <c r="Y6356" s="6" t="s">
        <v>954</v>
      </c>
    </row>
    <row r="6357">
      <c r="Y6357" s="6" t="s">
        <v>954</v>
      </c>
    </row>
    <row r="6358">
      <c r="Y6358" s="6" t="s">
        <v>954</v>
      </c>
    </row>
    <row r="6359">
      <c r="Y6359" s="6" t="s">
        <v>954</v>
      </c>
    </row>
    <row r="6360">
      <c r="Y6360" s="6" t="s">
        <v>954</v>
      </c>
    </row>
    <row r="6361">
      <c r="Y6361" s="6" t="s">
        <v>954</v>
      </c>
    </row>
    <row r="6362">
      <c r="Y6362" s="6" t="s">
        <v>954</v>
      </c>
    </row>
    <row r="6363">
      <c r="Y6363" s="6" t="s">
        <v>954</v>
      </c>
    </row>
    <row r="6364">
      <c r="Y6364" s="6" t="s">
        <v>954</v>
      </c>
    </row>
    <row r="6365">
      <c r="Y6365" s="6" t="s">
        <v>954</v>
      </c>
    </row>
    <row r="6366">
      <c r="Y6366" s="6" t="s">
        <v>954</v>
      </c>
    </row>
    <row r="6367">
      <c r="Y6367" s="6" t="s">
        <v>954</v>
      </c>
    </row>
    <row r="6368">
      <c r="Y6368" s="6" t="s">
        <v>954</v>
      </c>
    </row>
    <row r="6369">
      <c r="Y6369" s="6" t="s">
        <v>954</v>
      </c>
    </row>
    <row r="6370">
      <c r="Y6370" s="6" t="s">
        <v>954</v>
      </c>
    </row>
    <row r="6371">
      <c r="Y6371" s="6" t="s">
        <v>954</v>
      </c>
    </row>
    <row r="6372">
      <c r="Y6372" s="6" t="s">
        <v>954</v>
      </c>
    </row>
    <row r="6373">
      <c r="Y6373" s="6" t="s">
        <v>954</v>
      </c>
    </row>
    <row r="6374">
      <c r="Y6374" s="6" t="s">
        <v>954</v>
      </c>
    </row>
    <row r="6375">
      <c r="Y6375" s="6" t="s">
        <v>954</v>
      </c>
    </row>
    <row r="6376">
      <c r="Y6376" s="6" t="s">
        <v>954</v>
      </c>
    </row>
    <row r="6377">
      <c r="Y6377" s="6" t="s">
        <v>954</v>
      </c>
    </row>
    <row r="6378">
      <c r="Y6378" s="6" t="s">
        <v>954</v>
      </c>
    </row>
    <row r="6379">
      <c r="Y6379" s="6" t="s">
        <v>954</v>
      </c>
    </row>
    <row r="6380">
      <c r="Y6380" s="6" t="s">
        <v>954</v>
      </c>
    </row>
    <row r="6381">
      <c r="Y6381" s="6" t="s">
        <v>954</v>
      </c>
    </row>
    <row r="6382">
      <c r="Y6382" s="6" t="s">
        <v>954</v>
      </c>
    </row>
    <row r="6383">
      <c r="Y6383" s="6" t="s">
        <v>954</v>
      </c>
    </row>
    <row r="6384">
      <c r="Y6384" s="6" t="s">
        <v>954</v>
      </c>
    </row>
    <row r="6385">
      <c r="Y6385" s="6" t="s">
        <v>954</v>
      </c>
    </row>
    <row r="6386">
      <c r="Y6386" s="6" t="s">
        <v>954</v>
      </c>
    </row>
    <row r="6387">
      <c r="Y6387" s="6" t="s">
        <v>954</v>
      </c>
    </row>
    <row r="6388">
      <c r="Y6388" s="6" t="s">
        <v>954</v>
      </c>
    </row>
    <row r="6389">
      <c r="Y6389" s="6" t="s">
        <v>954</v>
      </c>
    </row>
    <row r="6390">
      <c r="Y6390" s="6" t="s">
        <v>954</v>
      </c>
    </row>
    <row r="6391">
      <c r="Y6391" s="6" t="s">
        <v>954</v>
      </c>
    </row>
    <row r="6392">
      <c r="Y6392" s="6" t="s">
        <v>954</v>
      </c>
    </row>
    <row r="6393">
      <c r="Y6393" s="6" t="s">
        <v>954</v>
      </c>
    </row>
    <row r="6394">
      <c r="Y6394" s="6" t="s">
        <v>954</v>
      </c>
    </row>
    <row r="6395">
      <c r="Y6395" s="6" t="s">
        <v>954</v>
      </c>
    </row>
    <row r="6396">
      <c r="Y6396" s="6" t="s">
        <v>954</v>
      </c>
    </row>
    <row r="6397">
      <c r="Y6397" s="6" t="s">
        <v>954</v>
      </c>
    </row>
    <row r="6398">
      <c r="Y6398" s="6" t="s">
        <v>954</v>
      </c>
    </row>
    <row r="6399">
      <c r="Y6399" s="6" t="s">
        <v>954</v>
      </c>
    </row>
    <row r="6400">
      <c r="Y6400" s="6" t="s">
        <v>954</v>
      </c>
    </row>
    <row r="6401">
      <c r="Y6401" s="6" t="s">
        <v>954</v>
      </c>
    </row>
    <row r="6402">
      <c r="Y6402" s="6" t="s">
        <v>954</v>
      </c>
    </row>
    <row r="6403">
      <c r="Y6403" s="6" t="s">
        <v>954</v>
      </c>
    </row>
    <row r="6404">
      <c r="Y6404" s="6" t="s">
        <v>954</v>
      </c>
    </row>
    <row r="6405">
      <c r="Y6405" s="6" t="s">
        <v>954</v>
      </c>
    </row>
    <row r="6406">
      <c r="Y6406" s="6" t="s">
        <v>954</v>
      </c>
    </row>
    <row r="6407">
      <c r="Y6407" s="6" t="s">
        <v>954</v>
      </c>
    </row>
    <row r="6408">
      <c r="Y6408" s="6" t="s">
        <v>954</v>
      </c>
    </row>
    <row r="6409">
      <c r="Y6409" s="6" t="s">
        <v>954</v>
      </c>
    </row>
    <row r="6410">
      <c r="Y6410" s="6" t="s">
        <v>954</v>
      </c>
    </row>
    <row r="6411">
      <c r="Y6411" s="6" t="s">
        <v>954</v>
      </c>
    </row>
    <row r="6412">
      <c r="Y6412" s="6" t="s">
        <v>954</v>
      </c>
    </row>
    <row r="6413">
      <c r="Y6413" s="6" t="s">
        <v>954</v>
      </c>
    </row>
    <row r="6414">
      <c r="Y6414" s="6" t="s">
        <v>954</v>
      </c>
    </row>
    <row r="6415">
      <c r="Y6415" s="6" t="s">
        <v>954</v>
      </c>
    </row>
    <row r="6416">
      <c r="Y6416" s="6" t="s">
        <v>954</v>
      </c>
    </row>
    <row r="6417">
      <c r="Y6417" s="6" t="s">
        <v>954</v>
      </c>
    </row>
    <row r="6418">
      <c r="Y6418" s="6" t="s">
        <v>954</v>
      </c>
    </row>
    <row r="6419">
      <c r="Y6419" s="6" t="s">
        <v>954</v>
      </c>
    </row>
    <row r="6420">
      <c r="Y6420" s="6" t="s">
        <v>954</v>
      </c>
    </row>
    <row r="6421">
      <c r="Y6421" s="6" t="s">
        <v>954</v>
      </c>
    </row>
    <row r="6422">
      <c r="Y6422" s="6" t="s">
        <v>954</v>
      </c>
    </row>
    <row r="6423">
      <c r="Y6423" s="6" t="s">
        <v>954</v>
      </c>
    </row>
    <row r="6424">
      <c r="Y6424" s="6" t="s">
        <v>954</v>
      </c>
    </row>
    <row r="6425">
      <c r="Y6425" s="6" t="s">
        <v>954</v>
      </c>
    </row>
    <row r="6426">
      <c r="Y6426" s="6" t="s">
        <v>954</v>
      </c>
    </row>
    <row r="6427">
      <c r="Y6427" s="6" t="s">
        <v>954</v>
      </c>
    </row>
    <row r="6428">
      <c r="Y6428" s="6" t="s">
        <v>954</v>
      </c>
    </row>
    <row r="6429">
      <c r="Y6429" s="6" t="s">
        <v>954</v>
      </c>
    </row>
    <row r="6430">
      <c r="Y6430" s="6" t="s">
        <v>954</v>
      </c>
    </row>
    <row r="6431">
      <c r="Y6431" s="6" t="s">
        <v>954</v>
      </c>
    </row>
    <row r="6432">
      <c r="Y6432" s="6" t="s">
        <v>954</v>
      </c>
    </row>
    <row r="6433">
      <c r="Y6433" s="6" t="s">
        <v>954</v>
      </c>
    </row>
    <row r="6434">
      <c r="Y6434" s="6" t="s">
        <v>954</v>
      </c>
    </row>
    <row r="6435">
      <c r="Y6435" s="6" t="s">
        <v>954</v>
      </c>
    </row>
    <row r="6436">
      <c r="Y6436" s="6" t="s">
        <v>954</v>
      </c>
    </row>
    <row r="6437">
      <c r="Y6437" s="6" t="s">
        <v>954</v>
      </c>
    </row>
    <row r="6438">
      <c r="Y6438" s="6" t="s">
        <v>954</v>
      </c>
    </row>
    <row r="6439">
      <c r="Y6439" s="6" t="s">
        <v>954</v>
      </c>
    </row>
    <row r="6440">
      <c r="Y6440" s="6" t="s">
        <v>954</v>
      </c>
    </row>
    <row r="6441">
      <c r="Y6441" s="6" t="s">
        <v>954</v>
      </c>
    </row>
    <row r="6442">
      <c r="Y6442" s="6" t="s">
        <v>954</v>
      </c>
    </row>
    <row r="6443">
      <c r="Y6443" s="6" t="s">
        <v>954</v>
      </c>
    </row>
    <row r="6444">
      <c r="Y6444" s="6" t="s">
        <v>954</v>
      </c>
    </row>
    <row r="6445">
      <c r="Y6445" s="6" t="s">
        <v>954</v>
      </c>
    </row>
    <row r="6446">
      <c r="Y6446" s="6" t="s">
        <v>954</v>
      </c>
    </row>
    <row r="6447">
      <c r="Y6447" s="6" t="s">
        <v>954</v>
      </c>
    </row>
    <row r="6448">
      <c r="Y6448" s="6" t="s">
        <v>954</v>
      </c>
    </row>
    <row r="6449">
      <c r="Y6449" s="6" t="s">
        <v>954</v>
      </c>
    </row>
    <row r="6450">
      <c r="Y6450" s="6" t="s">
        <v>954</v>
      </c>
    </row>
    <row r="6451">
      <c r="Y6451" s="6" t="s">
        <v>954</v>
      </c>
    </row>
    <row r="6452">
      <c r="Y6452" s="6" t="s">
        <v>954</v>
      </c>
    </row>
    <row r="6453">
      <c r="Y6453" s="6" t="s">
        <v>954</v>
      </c>
    </row>
    <row r="6454">
      <c r="Y6454" s="6" t="s">
        <v>954</v>
      </c>
    </row>
    <row r="6455">
      <c r="Y6455" s="6" t="s">
        <v>954</v>
      </c>
    </row>
    <row r="6456">
      <c r="Y6456" s="6" t="s">
        <v>954</v>
      </c>
    </row>
    <row r="6457">
      <c r="Y6457" s="6" t="s">
        <v>954</v>
      </c>
    </row>
    <row r="6458">
      <c r="Y6458" s="6" t="s">
        <v>954</v>
      </c>
    </row>
    <row r="6459">
      <c r="Y6459" s="6" t="s">
        <v>954</v>
      </c>
    </row>
    <row r="6460">
      <c r="Y6460" s="6" t="s">
        <v>954</v>
      </c>
    </row>
    <row r="6461">
      <c r="Y6461" s="6" t="s">
        <v>954</v>
      </c>
    </row>
    <row r="6462">
      <c r="Y6462" s="6" t="s">
        <v>954</v>
      </c>
    </row>
    <row r="6463">
      <c r="Y6463" s="6" t="s">
        <v>954</v>
      </c>
    </row>
    <row r="6464">
      <c r="Y6464" s="6" t="s">
        <v>954</v>
      </c>
    </row>
    <row r="6465">
      <c r="Y6465" s="6" t="s">
        <v>954</v>
      </c>
    </row>
    <row r="6466">
      <c r="Y6466" s="6" t="s">
        <v>954</v>
      </c>
    </row>
    <row r="6467">
      <c r="Y6467" s="6" t="s">
        <v>954</v>
      </c>
    </row>
    <row r="6468">
      <c r="Y6468" s="6" t="s">
        <v>954</v>
      </c>
    </row>
    <row r="6469">
      <c r="Y6469" s="6" t="s">
        <v>954</v>
      </c>
    </row>
    <row r="6470">
      <c r="Y6470" s="6" t="s">
        <v>954</v>
      </c>
    </row>
    <row r="6471">
      <c r="Y6471" s="6" t="s">
        <v>954</v>
      </c>
    </row>
    <row r="6472">
      <c r="Y6472" s="6" t="s">
        <v>954</v>
      </c>
    </row>
    <row r="6473">
      <c r="Y6473" s="6" t="s">
        <v>954</v>
      </c>
    </row>
    <row r="6474">
      <c r="Y6474" s="6" t="s">
        <v>954</v>
      </c>
    </row>
    <row r="6475">
      <c r="Y6475" s="6" t="s">
        <v>954</v>
      </c>
    </row>
    <row r="6476">
      <c r="Y6476" s="6" t="s">
        <v>954</v>
      </c>
    </row>
    <row r="6477">
      <c r="Y6477" s="6" t="s">
        <v>954</v>
      </c>
    </row>
    <row r="6478">
      <c r="Y6478" s="6" t="s">
        <v>954</v>
      </c>
    </row>
    <row r="6479">
      <c r="Y6479" s="6" t="s">
        <v>954</v>
      </c>
    </row>
    <row r="6480">
      <c r="Y6480" s="6" t="s">
        <v>954</v>
      </c>
    </row>
    <row r="6481">
      <c r="Y6481" s="6" t="s">
        <v>954</v>
      </c>
    </row>
    <row r="6482">
      <c r="Y6482" s="6" t="s">
        <v>954</v>
      </c>
    </row>
    <row r="6483">
      <c r="Y6483" s="6" t="s">
        <v>954</v>
      </c>
    </row>
    <row r="6484">
      <c r="Y6484" s="6" t="s">
        <v>954</v>
      </c>
    </row>
    <row r="6485">
      <c r="Y6485" s="6" t="s">
        <v>954</v>
      </c>
    </row>
    <row r="6486">
      <c r="Y6486" s="6" t="s">
        <v>954</v>
      </c>
    </row>
    <row r="6487">
      <c r="Y6487" s="6" t="s">
        <v>954</v>
      </c>
    </row>
    <row r="6488">
      <c r="Y6488" s="6" t="s">
        <v>954</v>
      </c>
    </row>
    <row r="6489">
      <c r="Y6489" s="6" t="s">
        <v>954</v>
      </c>
    </row>
    <row r="6490">
      <c r="Y6490" s="6" t="s">
        <v>954</v>
      </c>
    </row>
    <row r="6491">
      <c r="Y6491" s="6" t="s">
        <v>954</v>
      </c>
    </row>
    <row r="6492">
      <c r="Y6492" s="6" t="s">
        <v>954</v>
      </c>
    </row>
    <row r="6493">
      <c r="Y6493" s="6" t="s">
        <v>954</v>
      </c>
    </row>
    <row r="6494">
      <c r="Y6494" s="6" t="s">
        <v>954</v>
      </c>
    </row>
    <row r="6495">
      <c r="Y6495" s="6" t="s">
        <v>954</v>
      </c>
    </row>
    <row r="6496">
      <c r="Y6496" s="6" t="s">
        <v>954</v>
      </c>
    </row>
    <row r="6497">
      <c r="Y6497" s="6" t="s">
        <v>954</v>
      </c>
    </row>
    <row r="6498">
      <c r="Y6498" s="6" t="s">
        <v>954</v>
      </c>
    </row>
    <row r="6499">
      <c r="Y6499" s="6" t="s">
        <v>954</v>
      </c>
    </row>
    <row r="6500">
      <c r="Y6500" s="6" t="s">
        <v>954</v>
      </c>
    </row>
    <row r="6501">
      <c r="Y6501" s="6" t="s">
        <v>954</v>
      </c>
    </row>
    <row r="6502">
      <c r="Y6502" s="6" t="s">
        <v>954</v>
      </c>
    </row>
    <row r="6503">
      <c r="Y6503" s="6" t="s">
        <v>954</v>
      </c>
    </row>
    <row r="6504">
      <c r="Y6504" s="6" t="s">
        <v>954</v>
      </c>
    </row>
    <row r="6505">
      <c r="Y6505" s="6" t="s">
        <v>954</v>
      </c>
    </row>
    <row r="6506">
      <c r="Y6506" s="6" t="s">
        <v>954</v>
      </c>
    </row>
    <row r="6507">
      <c r="Y6507" s="6" t="s">
        <v>954</v>
      </c>
    </row>
    <row r="6508">
      <c r="Y6508" s="6" t="s">
        <v>954</v>
      </c>
    </row>
    <row r="6509">
      <c r="Y6509" s="6" t="s">
        <v>954</v>
      </c>
    </row>
    <row r="6510">
      <c r="Y6510" s="6" t="s">
        <v>954</v>
      </c>
    </row>
    <row r="6511">
      <c r="Y6511" s="6" t="s">
        <v>954</v>
      </c>
    </row>
    <row r="6512">
      <c r="Y6512" s="6" t="s">
        <v>954</v>
      </c>
    </row>
    <row r="6513">
      <c r="Y6513" s="6" t="s">
        <v>954</v>
      </c>
    </row>
    <row r="6514">
      <c r="Y6514" s="6" t="s">
        <v>954</v>
      </c>
    </row>
    <row r="6515">
      <c r="Y6515" s="6" t="s">
        <v>954</v>
      </c>
    </row>
    <row r="6516">
      <c r="Y6516" s="6" t="s">
        <v>954</v>
      </c>
    </row>
    <row r="6517">
      <c r="Y6517" s="6" t="s">
        <v>954</v>
      </c>
    </row>
    <row r="6518">
      <c r="Y6518" s="6" t="s">
        <v>954</v>
      </c>
    </row>
    <row r="6519">
      <c r="Y6519" s="6" t="s">
        <v>954</v>
      </c>
    </row>
    <row r="6520">
      <c r="Y6520" s="6" t="s">
        <v>954</v>
      </c>
    </row>
    <row r="6521">
      <c r="Y6521" s="6" t="s">
        <v>954</v>
      </c>
    </row>
    <row r="6522">
      <c r="Y6522" s="6" t="s">
        <v>954</v>
      </c>
    </row>
    <row r="6523">
      <c r="Y6523" s="6" t="s">
        <v>954</v>
      </c>
    </row>
    <row r="6524">
      <c r="Y6524" s="6" t="s">
        <v>954</v>
      </c>
    </row>
    <row r="6525">
      <c r="Y6525" s="6" t="s">
        <v>954</v>
      </c>
    </row>
    <row r="6526">
      <c r="Y6526" s="6" t="s">
        <v>954</v>
      </c>
    </row>
    <row r="6527">
      <c r="Y6527" s="6" t="s">
        <v>954</v>
      </c>
    </row>
    <row r="6528">
      <c r="Y6528" s="6" t="s">
        <v>954</v>
      </c>
    </row>
    <row r="6529">
      <c r="Y6529" s="6" t="s">
        <v>954</v>
      </c>
    </row>
    <row r="6530">
      <c r="Y6530" s="6" t="s">
        <v>954</v>
      </c>
    </row>
    <row r="6531">
      <c r="Y6531" s="6" t="s">
        <v>954</v>
      </c>
    </row>
    <row r="6532">
      <c r="Y6532" s="6" t="s">
        <v>954</v>
      </c>
    </row>
    <row r="6533">
      <c r="Y6533" s="6" t="s">
        <v>954</v>
      </c>
    </row>
    <row r="6534">
      <c r="Y6534" s="6" t="s">
        <v>954</v>
      </c>
    </row>
    <row r="6535">
      <c r="Y6535" s="6" t="s">
        <v>954</v>
      </c>
    </row>
    <row r="6536">
      <c r="Y6536" s="6" t="s">
        <v>954</v>
      </c>
    </row>
    <row r="6537">
      <c r="Y6537" s="6" t="s">
        <v>954</v>
      </c>
    </row>
    <row r="6538">
      <c r="Y6538" s="6" t="s">
        <v>954</v>
      </c>
    </row>
    <row r="6539">
      <c r="Y6539" s="6" t="s">
        <v>954</v>
      </c>
    </row>
    <row r="6540">
      <c r="Y6540" s="6" t="s">
        <v>954</v>
      </c>
    </row>
    <row r="6541">
      <c r="Y6541" s="6" t="s">
        <v>954</v>
      </c>
    </row>
    <row r="6542">
      <c r="Y6542" s="6" t="s">
        <v>954</v>
      </c>
    </row>
    <row r="6543">
      <c r="Y6543" s="6" t="s">
        <v>954</v>
      </c>
    </row>
    <row r="6544">
      <c r="Y6544" s="6" t="s">
        <v>954</v>
      </c>
    </row>
    <row r="6545">
      <c r="Y6545" s="6" t="s">
        <v>954</v>
      </c>
    </row>
    <row r="6546">
      <c r="Y6546" s="6" t="s">
        <v>954</v>
      </c>
    </row>
    <row r="6547">
      <c r="Y6547" s="6" t="s">
        <v>954</v>
      </c>
    </row>
    <row r="6548">
      <c r="Y6548" s="6" t="s">
        <v>954</v>
      </c>
    </row>
    <row r="6549">
      <c r="Y6549" s="6" t="s">
        <v>954</v>
      </c>
    </row>
    <row r="6550">
      <c r="Y6550" s="6" t="s">
        <v>954</v>
      </c>
    </row>
    <row r="6551">
      <c r="Y6551" s="6" t="s">
        <v>954</v>
      </c>
    </row>
    <row r="6552">
      <c r="Y6552" s="6" t="s">
        <v>954</v>
      </c>
    </row>
    <row r="6553">
      <c r="Y6553" s="6" t="s">
        <v>954</v>
      </c>
    </row>
    <row r="6554">
      <c r="Y6554" s="6" t="s">
        <v>954</v>
      </c>
    </row>
    <row r="6555">
      <c r="Y6555" s="6" t="s">
        <v>954</v>
      </c>
    </row>
    <row r="6556">
      <c r="Y6556" s="6" t="s">
        <v>954</v>
      </c>
    </row>
    <row r="6557">
      <c r="Y6557" s="6" t="s">
        <v>954</v>
      </c>
    </row>
    <row r="6558">
      <c r="Y6558" s="6" t="s">
        <v>954</v>
      </c>
    </row>
    <row r="6559">
      <c r="Y6559" s="6" t="s">
        <v>954</v>
      </c>
    </row>
    <row r="6560">
      <c r="Y6560" s="6" t="s">
        <v>954</v>
      </c>
    </row>
    <row r="6561">
      <c r="Y6561" s="6" t="s">
        <v>954</v>
      </c>
    </row>
    <row r="6562">
      <c r="Y6562" s="6" t="s">
        <v>954</v>
      </c>
    </row>
    <row r="6563">
      <c r="Y6563" s="6" t="s">
        <v>954</v>
      </c>
    </row>
    <row r="6564">
      <c r="Y6564" s="6" t="s">
        <v>954</v>
      </c>
    </row>
    <row r="6565">
      <c r="Y6565" s="6" t="s">
        <v>954</v>
      </c>
    </row>
    <row r="6566">
      <c r="Y6566" s="6" t="s">
        <v>954</v>
      </c>
    </row>
    <row r="6567">
      <c r="Y6567" s="6" t="s">
        <v>954</v>
      </c>
    </row>
    <row r="6568">
      <c r="Y6568" s="6" t="s">
        <v>954</v>
      </c>
    </row>
    <row r="6569">
      <c r="Y6569" s="6" t="s">
        <v>954</v>
      </c>
    </row>
    <row r="6570">
      <c r="Y6570" s="6" t="s">
        <v>954</v>
      </c>
    </row>
    <row r="6571">
      <c r="Y6571" s="6" t="s">
        <v>954</v>
      </c>
    </row>
    <row r="6572">
      <c r="Y6572" s="6" t="s">
        <v>954</v>
      </c>
    </row>
    <row r="6573">
      <c r="Y6573" s="6" t="s">
        <v>954</v>
      </c>
    </row>
    <row r="6574">
      <c r="Y6574" s="6" t="s">
        <v>954</v>
      </c>
    </row>
    <row r="6575">
      <c r="Y6575" s="6" t="s">
        <v>954</v>
      </c>
    </row>
    <row r="6576">
      <c r="Y6576" s="6" t="s">
        <v>954</v>
      </c>
    </row>
    <row r="6577">
      <c r="Y6577" s="6" t="s">
        <v>954</v>
      </c>
    </row>
    <row r="6578">
      <c r="Y6578" s="6" t="s">
        <v>954</v>
      </c>
    </row>
    <row r="6579">
      <c r="Y6579" s="6" t="s">
        <v>954</v>
      </c>
    </row>
    <row r="6580">
      <c r="Y6580" s="6" t="s">
        <v>954</v>
      </c>
    </row>
    <row r="6581">
      <c r="Y6581" s="6" t="s">
        <v>954</v>
      </c>
    </row>
    <row r="6582">
      <c r="Y6582" s="6" t="s">
        <v>954</v>
      </c>
    </row>
    <row r="6583">
      <c r="Y6583" s="6" t="s">
        <v>954</v>
      </c>
    </row>
    <row r="6584">
      <c r="Y6584" s="6" t="s">
        <v>954</v>
      </c>
    </row>
    <row r="6585">
      <c r="Y6585" s="6" t="s">
        <v>954</v>
      </c>
    </row>
    <row r="6586">
      <c r="Y6586" s="6" t="s">
        <v>954</v>
      </c>
    </row>
    <row r="6587">
      <c r="Y6587" s="6" t="s">
        <v>954</v>
      </c>
    </row>
    <row r="6588">
      <c r="Y6588" s="6" t="s">
        <v>954</v>
      </c>
    </row>
    <row r="6589">
      <c r="Y6589" s="6" t="s">
        <v>954</v>
      </c>
    </row>
    <row r="6590">
      <c r="Y6590" s="6" t="s">
        <v>954</v>
      </c>
    </row>
    <row r="6591">
      <c r="Y6591" s="6" t="s">
        <v>954</v>
      </c>
    </row>
    <row r="6592">
      <c r="Y6592" s="6" t="s">
        <v>954</v>
      </c>
    </row>
    <row r="6593">
      <c r="Y6593" s="6" t="s">
        <v>954</v>
      </c>
    </row>
    <row r="6594">
      <c r="Y6594" s="6" t="s">
        <v>954</v>
      </c>
    </row>
    <row r="6595">
      <c r="Y6595" s="6" t="s">
        <v>954</v>
      </c>
    </row>
    <row r="6596">
      <c r="Y6596" s="6" t="s">
        <v>954</v>
      </c>
    </row>
    <row r="6597">
      <c r="Y6597" s="6" t="s">
        <v>954</v>
      </c>
    </row>
    <row r="6598">
      <c r="Y6598" s="6" t="s">
        <v>954</v>
      </c>
    </row>
    <row r="6599">
      <c r="Y6599" s="6" t="s">
        <v>954</v>
      </c>
    </row>
    <row r="6600">
      <c r="Y6600" s="6" t="s">
        <v>954</v>
      </c>
    </row>
    <row r="6601">
      <c r="Y6601" s="6" t="s">
        <v>954</v>
      </c>
    </row>
    <row r="6602">
      <c r="Y6602" s="6" t="s">
        <v>954</v>
      </c>
    </row>
    <row r="6603">
      <c r="Y6603" s="6" t="s">
        <v>954</v>
      </c>
    </row>
    <row r="6604">
      <c r="Y6604" s="6" t="s">
        <v>954</v>
      </c>
    </row>
    <row r="6605">
      <c r="Y6605" s="6" t="s">
        <v>954</v>
      </c>
    </row>
    <row r="6606">
      <c r="Y6606" s="6" t="s">
        <v>954</v>
      </c>
    </row>
    <row r="6607">
      <c r="Y6607" s="6" t="s">
        <v>954</v>
      </c>
    </row>
    <row r="6608">
      <c r="Y6608" s="6" t="s">
        <v>954</v>
      </c>
    </row>
    <row r="6609">
      <c r="Y6609" s="6" t="s">
        <v>954</v>
      </c>
    </row>
    <row r="6610">
      <c r="Y6610" s="6" t="s">
        <v>954</v>
      </c>
    </row>
    <row r="6611">
      <c r="Y6611" s="6" t="s">
        <v>954</v>
      </c>
    </row>
    <row r="6612">
      <c r="Y6612" s="6" t="s">
        <v>954</v>
      </c>
    </row>
    <row r="6613">
      <c r="Y6613" s="6" t="s">
        <v>954</v>
      </c>
    </row>
    <row r="6614">
      <c r="Y6614" s="6" t="s">
        <v>954</v>
      </c>
    </row>
    <row r="6615">
      <c r="Y6615" s="6" t="s">
        <v>954</v>
      </c>
    </row>
    <row r="6616">
      <c r="Y6616" s="6" t="s">
        <v>954</v>
      </c>
    </row>
    <row r="6617">
      <c r="Y6617" s="6" t="s">
        <v>954</v>
      </c>
    </row>
    <row r="6618">
      <c r="Y6618" s="6" t="s">
        <v>954</v>
      </c>
    </row>
    <row r="6619">
      <c r="Y6619" s="6" t="s">
        <v>954</v>
      </c>
    </row>
    <row r="6620">
      <c r="Y6620" s="6" t="s">
        <v>954</v>
      </c>
    </row>
    <row r="6621">
      <c r="Y6621" s="6" t="s">
        <v>954</v>
      </c>
    </row>
    <row r="6622">
      <c r="Y6622" s="6" t="s">
        <v>954</v>
      </c>
    </row>
    <row r="6623">
      <c r="Y6623" s="6" t="s">
        <v>954</v>
      </c>
    </row>
    <row r="6624">
      <c r="Y6624" s="6" t="s">
        <v>954</v>
      </c>
    </row>
    <row r="6625">
      <c r="Y6625" s="6" t="s">
        <v>954</v>
      </c>
    </row>
    <row r="6626">
      <c r="Y6626" s="6" t="s">
        <v>954</v>
      </c>
    </row>
    <row r="6627">
      <c r="Y6627" s="6" t="s">
        <v>954</v>
      </c>
    </row>
    <row r="6628">
      <c r="Y6628" s="6" t="s">
        <v>954</v>
      </c>
    </row>
    <row r="6629">
      <c r="Y6629" s="6" t="s">
        <v>954</v>
      </c>
    </row>
    <row r="6630">
      <c r="Y6630" s="6" t="s">
        <v>954</v>
      </c>
    </row>
    <row r="6631">
      <c r="Y6631" s="6" t="s">
        <v>954</v>
      </c>
    </row>
    <row r="6632">
      <c r="Y6632" s="6" t="s">
        <v>954</v>
      </c>
    </row>
    <row r="6633">
      <c r="Y6633" s="6" t="s">
        <v>954</v>
      </c>
    </row>
    <row r="6634">
      <c r="Y6634" s="6" t="s">
        <v>954</v>
      </c>
    </row>
    <row r="6635">
      <c r="Y6635" s="6" t="s">
        <v>954</v>
      </c>
    </row>
    <row r="6636">
      <c r="Y6636" s="6" t="s">
        <v>954</v>
      </c>
    </row>
    <row r="6637">
      <c r="Y6637" s="6" t="s">
        <v>954</v>
      </c>
    </row>
    <row r="6638">
      <c r="Y6638" s="6" t="s">
        <v>954</v>
      </c>
    </row>
    <row r="6639">
      <c r="Y6639" s="6" t="s">
        <v>954</v>
      </c>
    </row>
    <row r="6640">
      <c r="Y6640" s="6" t="s">
        <v>954</v>
      </c>
    </row>
    <row r="6641">
      <c r="Y6641" s="6" t="s">
        <v>954</v>
      </c>
    </row>
    <row r="6642">
      <c r="Y6642" s="6" t="s">
        <v>954</v>
      </c>
    </row>
    <row r="6643">
      <c r="Y6643" s="6" t="s">
        <v>954</v>
      </c>
    </row>
    <row r="6644">
      <c r="Y6644" s="6" t="s">
        <v>954</v>
      </c>
    </row>
    <row r="6645">
      <c r="Y6645" s="6" t="s">
        <v>954</v>
      </c>
    </row>
    <row r="6646">
      <c r="Y6646" s="6" t="s">
        <v>954</v>
      </c>
    </row>
    <row r="6647">
      <c r="Y6647" s="6" t="s">
        <v>954</v>
      </c>
    </row>
    <row r="6648">
      <c r="Y6648" s="6" t="s">
        <v>954</v>
      </c>
    </row>
    <row r="6649">
      <c r="Y6649" s="6" t="s">
        <v>954</v>
      </c>
    </row>
    <row r="6650">
      <c r="Y6650" s="6" t="s">
        <v>954</v>
      </c>
    </row>
    <row r="6651">
      <c r="Y6651" s="6" t="s">
        <v>954</v>
      </c>
    </row>
    <row r="6652">
      <c r="Y6652" s="6" t="s">
        <v>954</v>
      </c>
    </row>
    <row r="6653">
      <c r="Y6653" s="6" t="s">
        <v>954</v>
      </c>
    </row>
    <row r="6654">
      <c r="Y6654" s="6" t="s">
        <v>954</v>
      </c>
    </row>
    <row r="6655">
      <c r="Y6655" s="6" t="s">
        <v>954</v>
      </c>
    </row>
    <row r="6656">
      <c r="Y6656" s="6" t="s">
        <v>954</v>
      </c>
    </row>
    <row r="6657">
      <c r="Y6657" s="6" t="s">
        <v>954</v>
      </c>
    </row>
    <row r="6658">
      <c r="Y6658" s="6" t="s">
        <v>954</v>
      </c>
    </row>
    <row r="6659">
      <c r="Y6659" s="6" t="s">
        <v>954</v>
      </c>
    </row>
    <row r="6660">
      <c r="Y6660" s="6" t="s">
        <v>954</v>
      </c>
    </row>
    <row r="6661">
      <c r="Y6661" s="6" t="s">
        <v>954</v>
      </c>
    </row>
    <row r="6662">
      <c r="Y6662" s="6" t="s">
        <v>954</v>
      </c>
    </row>
    <row r="6663">
      <c r="Y6663" s="6" t="s">
        <v>954</v>
      </c>
    </row>
    <row r="6664">
      <c r="Y6664" s="6" t="s">
        <v>954</v>
      </c>
    </row>
    <row r="6665">
      <c r="Y6665" s="6" t="s">
        <v>954</v>
      </c>
    </row>
    <row r="6666">
      <c r="Y6666" s="6" t="s">
        <v>954</v>
      </c>
    </row>
    <row r="6667">
      <c r="Y6667" s="6" t="s">
        <v>954</v>
      </c>
    </row>
    <row r="6668">
      <c r="Y6668" s="6" t="s">
        <v>954</v>
      </c>
    </row>
    <row r="6669">
      <c r="Y6669" s="6" t="s">
        <v>954</v>
      </c>
    </row>
    <row r="6670">
      <c r="Y6670" s="6" t="s">
        <v>954</v>
      </c>
    </row>
    <row r="6671">
      <c r="Y6671" s="6" t="s">
        <v>954</v>
      </c>
    </row>
    <row r="6672">
      <c r="Y6672" s="6" t="s">
        <v>954</v>
      </c>
    </row>
    <row r="6673">
      <c r="Y6673" s="6" t="s">
        <v>954</v>
      </c>
    </row>
    <row r="6674">
      <c r="Y6674" s="6" t="s">
        <v>954</v>
      </c>
    </row>
    <row r="6675">
      <c r="Y6675" s="6" t="s">
        <v>954</v>
      </c>
    </row>
    <row r="6676">
      <c r="Y6676" s="6" t="s">
        <v>954</v>
      </c>
    </row>
    <row r="6677">
      <c r="Y6677" s="6" t="s">
        <v>954</v>
      </c>
    </row>
    <row r="6678">
      <c r="Y6678" s="6" t="s">
        <v>954</v>
      </c>
    </row>
    <row r="6679">
      <c r="Y6679" s="6" t="s">
        <v>954</v>
      </c>
    </row>
    <row r="6680">
      <c r="Y6680" s="6" t="s">
        <v>954</v>
      </c>
    </row>
    <row r="6681">
      <c r="Y6681" s="6" t="s">
        <v>954</v>
      </c>
    </row>
    <row r="6682">
      <c r="Y6682" s="6" t="s">
        <v>954</v>
      </c>
    </row>
    <row r="6683">
      <c r="Y6683" s="6" t="s">
        <v>954</v>
      </c>
    </row>
    <row r="6684">
      <c r="Y6684" s="6" t="s">
        <v>954</v>
      </c>
    </row>
    <row r="6685">
      <c r="Y6685" s="6" t="s">
        <v>954</v>
      </c>
    </row>
    <row r="6686">
      <c r="Y6686" s="6" t="s">
        <v>954</v>
      </c>
    </row>
    <row r="6687">
      <c r="Y6687" s="6" t="s">
        <v>954</v>
      </c>
    </row>
    <row r="6688">
      <c r="Y6688" s="6" t="s">
        <v>954</v>
      </c>
    </row>
    <row r="6689">
      <c r="Y6689" s="6" t="s">
        <v>954</v>
      </c>
    </row>
    <row r="6690">
      <c r="Y6690" s="6" t="s">
        <v>954</v>
      </c>
    </row>
    <row r="6691">
      <c r="Y6691" s="6" t="s">
        <v>954</v>
      </c>
    </row>
    <row r="6692">
      <c r="Y6692" s="6" t="s">
        <v>954</v>
      </c>
    </row>
    <row r="6693">
      <c r="Y6693" s="6" t="s">
        <v>954</v>
      </c>
    </row>
    <row r="6694">
      <c r="Y6694" s="6" t="s">
        <v>954</v>
      </c>
    </row>
    <row r="6695">
      <c r="Y6695" s="6" t="s">
        <v>954</v>
      </c>
    </row>
    <row r="6696">
      <c r="Y6696" s="6" t="s">
        <v>954</v>
      </c>
    </row>
    <row r="6697">
      <c r="Y6697" s="6" t="s">
        <v>954</v>
      </c>
    </row>
    <row r="6698">
      <c r="Y6698" s="6" t="s">
        <v>954</v>
      </c>
    </row>
    <row r="6699">
      <c r="Y6699" s="6" t="s">
        <v>954</v>
      </c>
    </row>
    <row r="6700">
      <c r="Y6700" s="6" t="s">
        <v>954</v>
      </c>
    </row>
    <row r="6701">
      <c r="Y6701" s="6" t="s">
        <v>954</v>
      </c>
    </row>
    <row r="6702">
      <c r="Y6702" s="6" t="s">
        <v>954</v>
      </c>
    </row>
    <row r="6703">
      <c r="Y6703" s="6" t="s">
        <v>954</v>
      </c>
    </row>
    <row r="6704">
      <c r="Y6704" s="6" t="s">
        <v>954</v>
      </c>
    </row>
    <row r="6705">
      <c r="Y6705" s="6" t="s">
        <v>954</v>
      </c>
    </row>
    <row r="6706">
      <c r="Y6706" s="6" t="s">
        <v>954</v>
      </c>
    </row>
    <row r="6707">
      <c r="Y6707" s="6" t="s">
        <v>954</v>
      </c>
    </row>
    <row r="6708">
      <c r="Y6708" s="6" t="s">
        <v>954</v>
      </c>
    </row>
    <row r="6709">
      <c r="Y6709" s="6" t="s">
        <v>954</v>
      </c>
    </row>
    <row r="6710">
      <c r="Y6710" s="6" t="s">
        <v>954</v>
      </c>
    </row>
    <row r="6711">
      <c r="Y6711" s="6" t="s">
        <v>954</v>
      </c>
    </row>
    <row r="6712">
      <c r="Y6712" s="6" t="s">
        <v>954</v>
      </c>
    </row>
    <row r="6713">
      <c r="Y6713" s="6" t="s">
        <v>954</v>
      </c>
    </row>
    <row r="6714">
      <c r="Y6714" s="6" t="s">
        <v>954</v>
      </c>
    </row>
    <row r="6715">
      <c r="Y6715" s="6" t="s">
        <v>954</v>
      </c>
    </row>
    <row r="6716">
      <c r="Y6716" s="6" t="s">
        <v>954</v>
      </c>
    </row>
    <row r="6717">
      <c r="Y6717" s="6" t="s">
        <v>954</v>
      </c>
    </row>
    <row r="6718">
      <c r="Y6718" s="6" t="s">
        <v>954</v>
      </c>
    </row>
    <row r="6719">
      <c r="Y6719" s="6" t="s">
        <v>954</v>
      </c>
    </row>
    <row r="6720">
      <c r="Y6720" s="6" t="s">
        <v>954</v>
      </c>
    </row>
    <row r="6721">
      <c r="Y6721" s="6" t="s">
        <v>954</v>
      </c>
    </row>
    <row r="6722">
      <c r="Y6722" s="6" t="s">
        <v>954</v>
      </c>
    </row>
    <row r="6723">
      <c r="Y6723" s="6" t="s">
        <v>954</v>
      </c>
    </row>
    <row r="6724">
      <c r="Y6724" s="6" t="s">
        <v>954</v>
      </c>
    </row>
    <row r="6725">
      <c r="Y6725" s="6" t="s">
        <v>954</v>
      </c>
    </row>
    <row r="6726">
      <c r="Y6726" s="6" t="s">
        <v>954</v>
      </c>
    </row>
    <row r="6727">
      <c r="Y6727" s="6" t="s">
        <v>954</v>
      </c>
    </row>
    <row r="6728">
      <c r="Y6728" s="6" t="s">
        <v>954</v>
      </c>
    </row>
    <row r="6729">
      <c r="Y6729" s="6" t="s">
        <v>954</v>
      </c>
    </row>
    <row r="6730">
      <c r="Y6730" s="6" t="s">
        <v>954</v>
      </c>
    </row>
    <row r="6731">
      <c r="Y6731" s="6" t="s">
        <v>954</v>
      </c>
    </row>
    <row r="6732">
      <c r="Y6732" s="6" t="s">
        <v>954</v>
      </c>
    </row>
    <row r="6733">
      <c r="Y6733" s="6" t="s">
        <v>954</v>
      </c>
    </row>
    <row r="6734">
      <c r="Y6734" s="6" t="s">
        <v>954</v>
      </c>
    </row>
    <row r="6735">
      <c r="Y6735" s="6" t="s">
        <v>954</v>
      </c>
    </row>
    <row r="6736">
      <c r="Y6736" s="6" t="s">
        <v>954</v>
      </c>
    </row>
    <row r="6737">
      <c r="Y6737" s="6" t="s">
        <v>954</v>
      </c>
    </row>
    <row r="6738">
      <c r="Y6738" s="6" t="s">
        <v>954</v>
      </c>
    </row>
    <row r="6739">
      <c r="Y6739" s="6" t="s">
        <v>954</v>
      </c>
    </row>
    <row r="6740">
      <c r="Y6740" s="6" t="s">
        <v>954</v>
      </c>
    </row>
    <row r="6741">
      <c r="Y6741" s="6" t="s">
        <v>954</v>
      </c>
    </row>
    <row r="6742">
      <c r="Y6742" s="6" t="s">
        <v>954</v>
      </c>
    </row>
    <row r="6743">
      <c r="Y6743" s="6" t="s">
        <v>954</v>
      </c>
    </row>
    <row r="6744">
      <c r="Y6744" s="6" t="s">
        <v>954</v>
      </c>
    </row>
    <row r="6745">
      <c r="Y6745" s="6" t="s">
        <v>954</v>
      </c>
    </row>
    <row r="6746">
      <c r="Y6746" s="6" t="s">
        <v>954</v>
      </c>
    </row>
    <row r="6747">
      <c r="Y6747" s="6" t="s">
        <v>954</v>
      </c>
    </row>
    <row r="6748">
      <c r="Y6748" s="6" t="s">
        <v>954</v>
      </c>
    </row>
    <row r="6749">
      <c r="Y6749" s="6" t="s">
        <v>954</v>
      </c>
    </row>
    <row r="6750">
      <c r="Y6750" s="6" t="s">
        <v>954</v>
      </c>
    </row>
    <row r="6751">
      <c r="Y6751" s="6" t="s">
        <v>954</v>
      </c>
    </row>
    <row r="6752">
      <c r="Y6752" s="6" t="s">
        <v>954</v>
      </c>
    </row>
    <row r="6753">
      <c r="Y6753" s="6" t="s">
        <v>954</v>
      </c>
    </row>
    <row r="6754">
      <c r="Y6754" s="6" t="s">
        <v>954</v>
      </c>
    </row>
    <row r="6755">
      <c r="Y6755" s="6" t="s">
        <v>954</v>
      </c>
    </row>
    <row r="6756">
      <c r="Y6756" s="6" t="s">
        <v>954</v>
      </c>
    </row>
    <row r="6757">
      <c r="Y6757" s="6" t="s">
        <v>954</v>
      </c>
    </row>
    <row r="6758">
      <c r="Y6758" s="6" t="s">
        <v>954</v>
      </c>
    </row>
    <row r="6759">
      <c r="Y6759" s="6" t="s">
        <v>954</v>
      </c>
    </row>
    <row r="6760">
      <c r="Y6760" s="6" t="s">
        <v>954</v>
      </c>
    </row>
    <row r="6761">
      <c r="Y6761" s="6" t="s">
        <v>954</v>
      </c>
    </row>
    <row r="6762">
      <c r="Y6762" s="6" t="s">
        <v>954</v>
      </c>
    </row>
    <row r="6763">
      <c r="Y6763" s="6" t="s">
        <v>954</v>
      </c>
    </row>
    <row r="6764">
      <c r="Y6764" s="6" t="s">
        <v>954</v>
      </c>
    </row>
    <row r="6765">
      <c r="Y6765" s="6" t="s">
        <v>954</v>
      </c>
    </row>
    <row r="6766">
      <c r="Y6766" s="6" t="s">
        <v>954</v>
      </c>
    </row>
    <row r="6767">
      <c r="Y6767" s="6" t="s">
        <v>954</v>
      </c>
    </row>
    <row r="6768">
      <c r="Y6768" s="6" t="s">
        <v>954</v>
      </c>
    </row>
    <row r="6769">
      <c r="Y6769" s="6" t="s">
        <v>954</v>
      </c>
    </row>
    <row r="6770">
      <c r="Y6770" s="6" t="s">
        <v>954</v>
      </c>
    </row>
    <row r="6771">
      <c r="Y6771" s="6" t="s">
        <v>954</v>
      </c>
    </row>
    <row r="6772">
      <c r="Y6772" s="6" t="s">
        <v>954</v>
      </c>
    </row>
    <row r="6773">
      <c r="Y6773" s="6" t="s">
        <v>954</v>
      </c>
    </row>
    <row r="6774">
      <c r="Y6774" s="6" t="s">
        <v>954</v>
      </c>
    </row>
    <row r="6775">
      <c r="Y6775" s="6" t="s">
        <v>954</v>
      </c>
    </row>
    <row r="6776">
      <c r="Y6776" s="6" t="s">
        <v>954</v>
      </c>
    </row>
    <row r="6777">
      <c r="Y6777" s="6" t="s">
        <v>954</v>
      </c>
    </row>
    <row r="6778">
      <c r="Y6778" s="6" t="s">
        <v>954</v>
      </c>
    </row>
    <row r="6779">
      <c r="Y6779" s="6" t="s">
        <v>954</v>
      </c>
    </row>
    <row r="6780">
      <c r="Y6780" s="6" t="s">
        <v>954</v>
      </c>
    </row>
    <row r="6781">
      <c r="Y6781" s="6" t="s">
        <v>954</v>
      </c>
    </row>
    <row r="6782">
      <c r="Y6782" s="6" t="s">
        <v>954</v>
      </c>
    </row>
    <row r="6783">
      <c r="Y6783" s="6" t="s">
        <v>954</v>
      </c>
    </row>
    <row r="6784">
      <c r="Y6784" s="6" t="s">
        <v>954</v>
      </c>
    </row>
    <row r="6785">
      <c r="Y6785" s="6" t="s">
        <v>954</v>
      </c>
    </row>
    <row r="6786">
      <c r="Y6786" s="6" t="s">
        <v>954</v>
      </c>
    </row>
    <row r="6787">
      <c r="Y6787" s="6" t="s">
        <v>954</v>
      </c>
    </row>
    <row r="6788">
      <c r="Y6788" s="6" t="s">
        <v>954</v>
      </c>
    </row>
    <row r="6789">
      <c r="Y6789" s="6" t="s">
        <v>954</v>
      </c>
    </row>
    <row r="6790">
      <c r="Y6790" s="6" t="s">
        <v>954</v>
      </c>
    </row>
    <row r="6791">
      <c r="Y6791" s="6" t="s">
        <v>954</v>
      </c>
    </row>
    <row r="6792">
      <c r="Y6792" s="6" t="s">
        <v>954</v>
      </c>
    </row>
    <row r="6793">
      <c r="Y6793" s="6" t="s">
        <v>954</v>
      </c>
    </row>
    <row r="6794">
      <c r="Y6794" s="6" t="s">
        <v>954</v>
      </c>
    </row>
    <row r="6795">
      <c r="Y6795" s="6" t="s">
        <v>954</v>
      </c>
    </row>
    <row r="6796">
      <c r="Y6796" s="6" t="s">
        <v>954</v>
      </c>
    </row>
    <row r="6797">
      <c r="Y6797" s="6" t="s">
        <v>954</v>
      </c>
    </row>
    <row r="6798">
      <c r="Y6798" s="6" t="s">
        <v>954</v>
      </c>
    </row>
    <row r="6799">
      <c r="Y6799" s="6" t="s">
        <v>954</v>
      </c>
    </row>
    <row r="6800">
      <c r="Y6800" s="6" t="s">
        <v>954</v>
      </c>
    </row>
    <row r="6801">
      <c r="Y6801" s="6" t="s">
        <v>954</v>
      </c>
    </row>
    <row r="6802">
      <c r="Y6802" s="6" t="s">
        <v>954</v>
      </c>
    </row>
    <row r="6803">
      <c r="Y6803" s="6" t="s">
        <v>954</v>
      </c>
    </row>
    <row r="6804">
      <c r="Y6804" s="6" t="s">
        <v>954</v>
      </c>
    </row>
    <row r="6805">
      <c r="Y6805" s="6" t="s">
        <v>954</v>
      </c>
    </row>
    <row r="6806">
      <c r="Y6806" s="6" t="s">
        <v>954</v>
      </c>
    </row>
    <row r="6807">
      <c r="Y6807" s="6" t="s">
        <v>954</v>
      </c>
    </row>
    <row r="6808">
      <c r="Y6808" s="6" t="s">
        <v>954</v>
      </c>
    </row>
    <row r="6809">
      <c r="Y6809" s="6" t="s">
        <v>954</v>
      </c>
    </row>
    <row r="6810">
      <c r="Y6810" s="6" t="s">
        <v>954</v>
      </c>
    </row>
    <row r="6811">
      <c r="Y6811" s="6" t="s">
        <v>954</v>
      </c>
    </row>
    <row r="6812">
      <c r="Y6812" s="6" t="s">
        <v>954</v>
      </c>
    </row>
    <row r="6813">
      <c r="Y6813" s="6" t="s">
        <v>954</v>
      </c>
    </row>
    <row r="6814">
      <c r="Y6814" s="6" t="s">
        <v>954</v>
      </c>
    </row>
    <row r="6815">
      <c r="Y6815" s="6" t="s">
        <v>954</v>
      </c>
    </row>
    <row r="6816">
      <c r="Y6816" s="6" t="s">
        <v>954</v>
      </c>
    </row>
    <row r="6817">
      <c r="Y6817" s="6" t="s">
        <v>954</v>
      </c>
    </row>
    <row r="6818">
      <c r="Y6818" s="6" t="s">
        <v>954</v>
      </c>
    </row>
    <row r="6819">
      <c r="Y6819" s="6" t="s">
        <v>954</v>
      </c>
    </row>
    <row r="6820">
      <c r="Y6820" s="6" t="s">
        <v>954</v>
      </c>
    </row>
    <row r="6821">
      <c r="Y6821" s="6" t="s">
        <v>954</v>
      </c>
    </row>
    <row r="6822">
      <c r="Y6822" s="6" t="s">
        <v>954</v>
      </c>
    </row>
    <row r="6823">
      <c r="Y6823" s="6" t="s">
        <v>954</v>
      </c>
    </row>
    <row r="6824">
      <c r="Y6824" s="6" t="s">
        <v>954</v>
      </c>
    </row>
    <row r="6825">
      <c r="Y6825" s="6" t="s">
        <v>954</v>
      </c>
    </row>
    <row r="6826">
      <c r="Y6826" s="6" t="s">
        <v>954</v>
      </c>
    </row>
    <row r="6827">
      <c r="Y6827" s="6" t="s">
        <v>954</v>
      </c>
    </row>
    <row r="6828">
      <c r="Y6828" s="6" t="s">
        <v>954</v>
      </c>
    </row>
    <row r="6829">
      <c r="Y6829" s="6" t="s">
        <v>954</v>
      </c>
    </row>
    <row r="6830">
      <c r="Y6830" s="6" t="s">
        <v>954</v>
      </c>
    </row>
    <row r="6831">
      <c r="Y6831" s="6" t="s">
        <v>954</v>
      </c>
    </row>
    <row r="6832">
      <c r="Y6832" s="6" t="s">
        <v>954</v>
      </c>
    </row>
    <row r="6833">
      <c r="Y6833" s="6" t="s">
        <v>954</v>
      </c>
    </row>
    <row r="6834">
      <c r="Y6834" s="6" t="s">
        <v>954</v>
      </c>
    </row>
    <row r="6835">
      <c r="Y6835" s="6" t="s">
        <v>954</v>
      </c>
    </row>
    <row r="6836">
      <c r="Y6836" s="6" t="s">
        <v>954</v>
      </c>
    </row>
    <row r="6837">
      <c r="Y6837" s="6" t="s">
        <v>954</v>
      </c>
    </row>
    <row r="6838">
      <c r="Y6838" s="6" t="s">
        <v>954</v>
      </c>
    </row>
    <row r="6839">
      <c r="Y6839" s="6" t="s">
        <v>954</v>
      </c>
    </row>
    <row r="6840">
      <c r="Y6840" s="6" t="s">
        <v>954</v>
      </c>
    </row>
    <row r="6841">
      <c r="Y6841" s="6" t="s">
        <v>954</v>
      </c>
    </row>
    <row r="6842">
      <c r="Y6842" s="6" t="s">
        <v>954</v>
      </c>
    </row>
    <row r="6843">
      <c r="Y6843" s="6" t="s">
        <v>954</v>
      </c>
    </row>
    <row r="6844">
      <c r="Y6844" s="6" t="s">
        <v>954</v>
      </c>
    </row>
    <row r="6845">
      <c r="Y6845" s="6" t="s">
        <v>954</v>
      </c>
    </row>
    <row r="6846">
      <c r="Y6846" s="6" t="s">
        <v>954</v>
      </c>
    </row>
    <row r="6847">
      <c r="Y6847" s="6" t="s">
        <v>954</v>
      </c>
    </row>
    <row r="6848">
      <c r="Y6848" s="6" t="s">
        <v>954</v>
      </c>
    </row>
    <row r="6849">
      <c r="Y6849" s="6" t="s">
        <v>954</v>
      </c>
    </row>
    <row r="6850">
      <c r="Y6850" s="6" t="s">
        <v>954</v>
      </c>
    </row>
    <row r="6851">
      <c r="Y6851" s="6" t="s">
        <v>954</v>
      </c>
    </row>
    <row r="6852">
      <c r="Y6852" s="6" t="s">
        <v>954</v>
      </c>
    </row>
    <row r="6853">
      <c r="Y6853" s="6" t="s">
        <v>954</v>
      </c>
    </row>
    <row r="6854">
      <c r="Y6854" s="6" t="s">
        <v>954</v>
      </c>
    </row>
    <row r="6855">
      <c r="Y6855" s="6" t="s">
        <v>954</v>
      </c>
    </row>
    <row r="6856">
      <c r="Y6856" s="6" t="s">
        <v>954</v>
      </c>
    </row>
    <row r="6857">
      <c r="Y6857" s="6" t="s">
        <v>954</v>
      </c>
    </row>
    <row r="6858">
      <c r="Y6858" s="6" t="s">
        <v>954</v>
      </c>
    </row>
    <row r="6859">
      <c r="Y6859" s="6" t="s">
        <v>954</v>
      </c>
    </row>
    <row r="6860">
      <c r="Y6860" s="6" t="s">
        <v>954</v>
      </c>
    </row>
    <row r="6861">
      <c r="Y6861" s="6" t="s">
        <v>954</v>
      </c>
    </row>
    <row r="6862">
      <c r="Y6862" s="6" t="s">
        <v>954</v>
      </c>
    </row>
    <row r="6863">
      <c r="Y6863" s="6" t="s">
        <v>954</v>
      </c>
    </row>
    <row r="6864">
      <c r="Y6864" s="6" t="s">
        <v>954</v>
      </c>
    </row>
    <row r="6865">
      <c r="Y6865" s="6" t="s">
        <v>954</v>
      </c>
    </row>
    <row r="6866">
      <c r="Y6866" s="6" t="s">
        <v>954</v>
      </c>
    </row>
    <row r="6867">
      <c r="Y6867" s="6" t="s">
        <v>954</v>
      </c>
    </row>
    <row r="6868">
      <c r="Y6868" s="6" t="s">
        <v>954</v>
      </c>
    </row>
    <row r="6869">
      <c r="Y6869" s="6" t="s">
        <v>954</v>
      </c>
    </row>
    <row r="6870">
      <c r="Y6870" s="6" t="s">
        <v>954</v>
      </c>
    </row>
    <row r="6871">
      <c r="Y6871" s="6" t="s">
        <v>954</v>
      </c>
    </row>
    <row r="6872">
      <c r="Y6872" s="6" t="s">
        <v>954</v>
      </c>
    </row>
    <row r="6873">
      <c r="Y6873" s="6" t="s">
        <v>954</v>
      </c>
    </row>
    <row r="6874">
      <c r="Y6874" s="6" t="s">
        <v>954</v>
      </c>
    </row>
    <row r="6875">
      <c r="Y6875" s="6" t="s">
        <v>954</v>
      </c>
    </row>
    <row r="6876">
      <c r="Y6876" s="6" t="s">
        <v>954</v>
      </c>
    </row>
    <row r="6877">
      <c r="Y6877" s="6" t="s">
        <v>954</v>
      </c>
    </row>
    <row r="6878">
      <c r="Y6878" s="6" t="s">
        <v>954</v>
      </c>
    </row>
    <row r="6879">
      <c r="Y6879" s="6" t="s">
        <v>954</v>
      </c>
    </row>
    <row r="6880">
      <c r="Y6880" s="6" t="s">
        <v>954</v>
      </c>
    </row>
    <row r="6881">
      <c r="Y6881" s="6" t="s">
        <v>954</v>
      </c>
    </row>
    <row r="6882">
      <c r="Y6882" s="6" t="s">
        <v>954</v>
      </c>
    </row>
    <row r="6883">
      <c r="Y6883" s="6" t="s">
        <v>954</v>
      </c>
    </row>
    <row r="6884">
      <c r="Y6884" s="6" t="s">
        <v>954</v>
      </c>
    </row>
    <row r="6885">
      <c r="Y6885" s="6" t="s">
        <v>954</v>
      </c>
    </row>
    <row r="6886">
      <c r="Y6886" s="6" t="s">
        <v>954</v>
      </c>
    </row>
    <row r="6887">
      <c r="Y6887" s="6" t="s">
        <v>954</v>
      </c>
    </row>
    <row r="6888">
      <c r="Y6888" s="6" t="s">
        <v>954</v>
      </c>
    </row>
    <row r="6889">
      <c r="Y6889" s="6" t="s">
        <v>954</v>
      </c>
    </row>
    <row r="6890">
      <c r="Y6890" s="6" t="s">
        <v>954</v>
      </c>
    </row>
    <row r="6891">
      <c r="Y6891" s="6" t="s">
        <v>954</v>
      </c>
    </row>
    <row r="6892">
      <c r="Y6892" s="6" t="s">
        <v>954</v>
      </c>
    </row>
    <row r="6893">
      <c r="Y6893" s="6" t="s">
        <v>954</v>
      </c>
    </row>
    <row r="6894">
      <c r="Y6894" s="6" t="s">
        <v>954</v>
      </c>
    </row>
    <row r="6895">
      <c r="Y6895" s="6" t="s">
        <v>954</v>
      </c>
    </row>
    <row r="6896">
      <c r="Y6896" s="6" t="s">
        <v>954</v>
      </c>
    </row>
    <row r="6897">
      <c r="Y6897" s="6" t="s">
        <v>954</v>
      </c>
    </row>
    <row r="6898">
      <c r="Y6898" s="6" t="s">
        <v>954</v>
      </c>
    </row>
    <row r="6899">
      <c r="Y6899" s="6" t="s">
        <v>954</v>
      </c>
    </row>
    <row r="6900">
      <c r="Y6900" s="6" t="s">
        <v>954</v>
      </c>
    </row>
    <row r="6901">
      <c r="Y6901" s="6" t="s">
        <v>954</v>
      </c>
    </row>
    <row r="6902">
      <c r="Y6902" s="6" t="s">
        <v>954</v>
      </c>
    </row>
    <row r="6903">
      <c r="Y6903" s="6" t="s">
        <v>954</v>
      </c>
    </row>
    <row r="6904">
      <c r="Y6904" s="6" t="s">
        <v>954</v>
      </c>
    </row>
    <row r="6905">
      <c r="Y6905" s="6" t="s">
        <v>954</v>
      </c>
    </row>
    <row r="6906">
      <c r="Y6906" s="6" t="s">
        <v>954</v>
      </c>
    </row>
    <row r="6907">
      <c r="Y6907" s="6" t="s">
        <v>954</v>
      </c>
    </row>
    <row r="6908">
      <c r="Y6908" s="6" t="s">
        <v>954</v>
      </c>
    </row>
    <row r="6909">
      <c r="Y6909" s="6" t="s">
        <v>954</v>
      </c>
    </row>
    <row r="6910">
      <c r="Y6910" s="6" t="s">
        <v>954</v>
      </c>
    </row>
    <row r="6911">
      <c r="Y6911" s="6" t="s">
        <v>954</v>
      </c>
    </row>
    <row r="6912">
      <c r="Y6912" s="6" t="s">
        <v>954</v>
      </c>
    </row>
    <row r="6913">
      <c r="Y6913" s="6" t="s">
        <v>954</v>
      </c>
    </row>
    <row r="6914">
      <c r="Y6914" s="6" t="s">
        <v>954</v>
      </c>
    </row>
    <row r="6915">
      <c r="Y6915" s="6" t="s">
        <v>954</v>
      </c>
    </row>
    <row r="6916">
      <c r="Y6916" s="6" t="s">
        <v>954</v>
      </c>
    </row>
    <row r="6917">
      <c r="Y6917" s="6" t="s">
        <v>954</v>
      </c>
    </row>
    <row r="6918">
      <c r="Y6918" s="6" t="s">
        <v>954</v>
      </c>
    </row>
    <row r="6919">
      <c r="Y6919" s="6" t="s">
        <v>954</v>
      </c>
    </row>
    <row r="6920">
      <c r="Y6920" s="6" t="s">
        <v>954</v>
      </c>
    </row>
    <row r="6921">
      <c r="Y6921" s="6" t="s">
        <v>954</v>
      </c>
    </row>
    <row r="6922">
      <c r="Y6922" s="6" t="s">
        <v>954</v>
      </c>
    </row>
    <row r="6923">
      <c r="Y6923" s="6" t="s">
        <v>954</v>
      </c>
    </row>
    <row r="6924">
      <c r="Y6924" s="6" t="s">
        <v>954</v>
      </c>
    </row>
    <row r="6925">
      <c r="Y6925" s="6" t="s">
        <v>954</v>
      </c>
    </row>
    <row r="6926">
      <c r="Y6926" s="6" t="s">
        <v>954</v>
      </c>
    </row>
    <row r="6927">
      <c r="Y6927" s="6" t="s">
        <v>954</v>
      </c>
    </row>
    <row r="6928">
      <c r="Y6928" s="6" t="s">
        <v>954</v>
      </c>
    </row>
    <row r="6929">
      <c r="Y6929" s="6" t="s">
        <v>954</v>
      </c>
    </row>
    <row r="6930">
      <c r="Y6930" s="6" t="s">
        <v>954</v>
      </c>
    </row>
    <row r="6931">
      <c r="Y6931" s="6" t="s">
        <v>954</v>
      </c>
    </row>
    <row r="6932">
      <c r="Y6932" s="6" t="s">
        <v>954</v>
      </c>
    </row>
    <row r="6933">
      <c r="Y6933" s="6" t="s">
        <v>954</v>
      </c>
    </row>
    <row r="6934">
      <c r="Y6934" s="6" t="s">
        <v>954</v>
      </c>
    </row>
    <row r="6935">
      <c r="Y6935" s="6" t="s">
        <v>954</v>
      </c>
    </row>
    <row r="6936">
      <c r="Y6936" s="6" t="s">
        <v>954</v>
      </c>
    </row>
    <row r="6937">
      <c r="Y6937" s="6" t="s">
        <v>954</v>
      </c>
    </row>
    <row r="6938">
      <c r="Y6938" s="6" t="s">
        <v>954</v>
      </c>
    </row>
    <row r="6939">
      <c r="Y6939" s="6" t="s">
        <v>954</v>
      </c>
    </row>
    <row r="6940">
      <c r="Y6940" s="6" t="s">
        <v>954</v>
      </c>
    </row>
    <row r="6941">
      <c r="Y6941" s="6" t="s">
        <v>954</v>
      </c>
    </row>
    <row r="6942">
      <c r="Y6942" s="6" t="s">
        <v>954</v>
      </c>
    </row>
    <row r="6943">
      <c r="Y6943" s="6" t="s">
        <v>954</v>
      </c>
    </row>
    <row r="6944">
      <c r="Y6944" s="6" t="s">
        <v>954</v>
      </c>
    </row>
    <row r="6945">
      <c r="Y6945" s="6" t="s">
        <v>954</v>
      </c>
    </row>
    <row r="6946">
      <c r="Y6946" s="6" t="s">
        <v>954</v>
      </c>
    </row>
    <row r="6947">
      <c r="Y6947" s="6" t="s">
        <v>954</v>
      </c>
    </row>
    <row r="6948">
      <c r="Y6948" s="6" t="s">
        <v>954</v>
      </c>
    </row>
    <row r="6949">
      <c r="Y6949" s="6" t="s">
        <v>954</v>
      </c>
    </row>
    <row r="6950">
      <c r="Y6950" s="6" t="s">
        <v>954</v>
      </c>
    </row>
    <row r="6951">
      <c r="Y6951" s="6" t="s">
        <v>954</v>
      </c>
    </row>
    <row r="6952">
      <c r="Y6952" s="6" t="s">
        <v>954</v>
      </c>
    </row>
    <row r="6953">
      <c r="Y6953" s="6" t="s">
        <v>954</v>
      </c>
    </row>
    <row r="6954">
      <c r="Y6954" s="6" t="s">
        <v>954</v>
      </c>
    </row>
    <row r="6955">
      <c r="Y6955" s="6" t="s">
        <v>954</v>
      </c>
    </row>
    <row r="6956">
      <c r="Y6956" s="6" t="s">
        <v>954</v>
      </c>
    </row>
    <row r="6957">
      <c r="Y6957" s="6" t="s">
        <v>954</v>
      </c>
    </row>
    <row r="6958">
      <c r="Y6958" s="6" t="s">
        <v>954</v>
      </c>
    </row>
    <row r="6959">
      <c r="Y6959" s="6" t="s">
        <v>954</v>
      </c>
    </row>
    <row r="6960">
      <c r="Y6960" s="6" t="s">
        <v>954</v>
      </c>
    </row>
    <row r="6961">
      <c r="Y6961" s="6" t="s">
        <v>954</v>
      </c>
    </row>
    <row r="6962">
      <c r="Y6962" s="6" t="s">
        <v>954</v>
      </c>
    </row>
    <row r="6963">
      <c r="Y6963" s="6" t="s">
        <v>954</v>
      </c>
    </row>
    <row r="6964">
      <c r="Y6964" s="6" t="s">
        <v>954</v>
      </c>
    </row>
    <row r="6965">
      <c r="Y6965" s="6" t="s">
        <v>954</v>
      </c>
    </row>
    <row r="6966">
      <c r="Y6966" s="6" t="s">
        <v>954</v>
      </c>
    </row>
    <row r="6967">
      <c r="Y6967" s="6" t="s">
        <v>954</v>
      </c>
    </row>
    <row r="6968">
      <c r="Y6968" s="6" t="s">
        <v>954</v>
      </c>
    </row>
    <row r="6969">
      <c r="Y6969" s="6" t="s">
        <v>954</v>
      </c>
    </row>
    <row r="6970">
      <c r="Y6970" s="6" t="s">
        <v>954</v>
      </c>
    </row>
    <row r="6971">
      <c r="Y6971" s="6" t="s">
        <v>954</v>
      </c>
    </row>
    <row r="6972">
      <c r="Y6972" s="6" t="s">
        <v>954</v>
      </c>
    </row>
    <row r="6973">
      <c r="Y6973" s="6" t="s">
        <v>954</v>
      </c>
    </row>
    <row r="6974">
      <c r="Y6974" s="6" t="s">
        <v>954</v>
      </c>
    </row>
    <row r="6975">
      <c r="Y6975" s="6" t="s">
        <v>954</v>
      </c>
    </row>
    <row r="6976">
      <c r="Y6976" s="6" t="s">
        <v>954</v>
      </c>
    </row>
    <row r="6977">
      <c r="Y6977" s="6" t="s">
        <v>954</v>
      </c>
    </row>
    <row r="6978">
      <c r="Y6978" s="6" t="s">
        <v>954</v>
      </c>
    </row>
    <row r="6979">
      <c r="Y6979" s="6" t="s">
        <v>954</v>
      </c>
    </row>
    <row r="6980">
      <c r="Y6980" s="6" t="s">
        <v>954</v>
      </c>
    </row>
    <row r="6981">
      <c r="Y6981" s="6" t="s">
        <v>954</v>
      </c>
    </row>
    <row r="6982">
      <c r="Y6982" s="6" t="s">
        <v>954</v>
      </c>
    </row>
    <row r="6983">
      <c r="Y6983" s="6" t="s">
        <v>954</v>
      </c>
    </row>
    <row r="6984">
      <c r="Y6984" s="6" t="s">
        <v>954</v>
      </c>
    </row>
    <row r="6985">
      <c r="Y6985" s="6" t="s">
        <v>954</v>
      </c>
    </row>
    <row r="6986">
      <c r="Y6986" s="6" t="s">
        <v>954</v>
      </c>
    </row>
    <row r="6987">
      <c r="Y6987" s="6" t="s">
        <v>954</v>
      </c>
    </row>
    <row r="6988">
      <c r="Y6988" s="6" t="s">
        <v>954</v>
      </c>
    </row>
    <row r="6989">
      <c r="Y6989" s="6" t="s">
        <v>954</v>
      </c>
    </row>
    <row r="6990">
      <c r="Y6990" s="6" t="s">
        <v>954</v>
      </c>
    </row>
    <row r="6991">
      <c r="Y6991" s="6" t="s">
        <v>954</v>
      </c>
    </row>
    <row r="6992">
      <c r="Y6992" s="6" t="s">
        <v>954</v>
      </c>
    </row>
    <row r="6993">
      <c r="Y6993" s="6" t="s">
        <v>954</v>
      </c>
    </row>
    <row r="6994">
      <c r="Y6994" s="6" t="s">
        <v>954</v>
      </c>
    </row>
    <row r="6995">
      <c r="Y6995" s="6" t="s">
        <v>954</v>
      </c>
    </row>
    <row r="6996">
      <c r="Y6996" s="6" t="s">
        <v>954</v>
      </c>
    </row>
    <row r="6997">
      <c r="Y6997" s="6" t="s">
        <v>954</v>
      </c>
    </row>
    <row r="6998">
      <c r="Y6998" s="6" t="s">
        <v>954</v>
      </c>
    </row>
    <row r="6999">
      <c r="Y6999" s="6" t="s">
        <v>954</v>
      </c>
    </row>
    <row r="7000">
      <c r="Y7000" s="6" t="s">
        <v>954</v>
      </c>
    </row>
    <row r="7001">
      <c r="Y7001" s="6" t="s">
        <v>954</v>
      </c>
    </row>
    <row r="7002">
      <c r="Y7002" s="6" t="s">
        <v>954</v>
      </c>
    </row>
    <row r="7003">
      <c r="Y7003" s="6" t="s">
        <v>954</v>
      </c>
    </row>
    <row r="7004">
      <c r="Y7004" s="6" t="s">
        <v>954</v>
      </c>
    </row>
    <row r="7005">
      <c r="Y7005" s="6" t="s">
        <v>954</v>
      </c>
    </row>
    <row r="7006">
      <c r="Y7006" s="6" t="s">
        <v>954</v>
      </c>
    </row>
    <row r="7007">
      <c r="Y7007" s="6" t="s">
        <v>954</v>
      </c>
    </row>
    <row r="7008">
      <c r="Y7008" s="6" t="s">
        <v>954</v>
      </c>
    </row>
    <row r="7009">
      <c r="Y7009" s="6" t="s">
        <v>954</v>
      </c>
    </row>
    <row r="7010">
      <c r="Y7010" s="6" t="s">
        <v>954</v>
      </c>
    </row>
    <row r="7011">
      <c r="Y7011" s="6" t="s">
        <v>954</v>
      </c>
    </row>
    <row r="7012">
      <c r="Y7012" s="6" t="s">
        <v>954</v>
      </c>
    </row>
    <row r="7013">
      <c r="Y7013" s="6" t="s">
        <v>954</v>
      </c>
    </row>
    <row r="7014">
      <c r="Y7014" s="6" t="s">
        <v>954</v>
      </c>
    </row>
    <row r="7015">
      <c r="Y7015" s="6" t="s">
        <v>954</v>
      </c>
    </row>
    <row r="7016">
      <c r="Y7016" s="6" t="s">
        <v>954</v>
      </c>
    </row>
    <row r="7017">
      <c r="Y7017" s="6" t="s">
        <v>954</v>
      </c>
    </row>
    <row r="7018">
      <c r="Y7018" s="6" t="s">
        <v>954</v>
      </c>
    </row>
    <row r="7019">
      <c r="Y7019" s="6" t="s">
        <v>954</v>
      </c>
    </row>
    <row r="7020">
      <c r="Y7020" s="6" t="s">
        <v>954</v>
      </c>
    </row>
    <row r="7021">
      <c r="Y7021" s="6" t="s">
        <v>954</v>
      </c>
    </row>
    <row r="7022">
      <c r="Y7022" s="6" t="s">
        <v>954</v>
      </c>
    </row>
    <row r="7023">
      <c r="Y7023" s="6" t="s">
        <v>954</v>
      </c>
    </row>
    <row r="7024">
      <c r="Y7024" s="6" t="s">
        <v>954</v>
      </c>
    </row>
    <row r="7025">
      <c r="Y7025" s="6" t="s">
        <v>954</v>
      </c>
    </row>
    <row r="7026">
      <c r="Y7026" s="6" t="s">
        <v>954</v>
      </c>
    </row>
    <row r="7027">
      <c r="Y7027" s="6" t="s">
        <v>954</v>
      </c>
    </row>
    <row r="7028">
      <c r="Y7028" s="6" t="s">
        <v>954</v>
      </c>
    </row>
    <row r="7029">
      <c r="Y7029" s="6" t="s">
        <v>954</v>
      </c>
    </row>
    <row r="7030">
      <c r="Y7030" s="6" t="s">
        <v>954</v>
      </c>
    </row>
    <row r="7031">
      <c r="Y7031" s="6" t="s">
        <v>954</v>
      </c>
    </row>
    <row r="7032">
      <c r="Y7032" s="6" t="s">
        <v>954</v>
      </c>
    </row>
    <row r="7033">
      <c r="Y7033" s="6" t="s">
        <v>954</v>
      </c>
    </row>
    <row r="7034">
      <c r="Y7034" s="6" t="s">
        <v>954</v>
      </c>
    </row>
    <row r="7035">
      <c r="Y7035" s="6" t="s">
        <v>954</v>
      </c>
    </row>
    <row r="7036">
      <c r="Y7036" s="6" t="s">
        <v>954</v>
      </c>
    </row>
    <row r="7037">
      <c r="Y7037" s="6" t="s">
        <v>954</v>
      </c>
    </row>
    <row r="7038">
      <c r="Y7038" s="6" t="s">
        <v>954</v>
      </c>
    </row>
    <row r="7039">
      <c r="Y7039" s="6" t="s">
        <v>954</v>
      </c>
    </row>
    <row r="7040">
      <c r="Y7040" s="6" t="s">
        <v>954</v>
      </c>
    </row>
    <row r="7041">
      <c r="Y7041" s="6" t="s">
        <v>954</v>
      </c>
    </row>
    <row r="7042">
      <c r="Y7042" s="6" t="s">
        <v>954</v>
      </c>
    </row>
    <row r="7043">
      <c r="Y7043" s="6" t="s">
        <v>954</v>
      </c>
    </row>
    <row r="7044">
      <c r="Y7044" s="6" t="s">
        <v>954</v>
      </c>
    </row>
    <row r="7045">
      <c r="Y7045" s="6" t="s">
        <v>954</v>
      </c>
    </row>
    <row r="7046">
      <c r="Y7046" s="6" t="s">
        <v>954</v>
      </c>
    </row>
    <row r="7047">
      <c r="Y7047" s="6" t="s">
        <v>954</v>
      </c>
    </row>
    <row r="7048">
      <c r="Y7048" s="6" t="s">
        <v>954</v>
      </c>
    </row>
    <row r="7049">
      <c r="Y7049" s="6" t="s">
        <v>954</v>
      </c>
    </row>
    <row r="7050">
      <c r="Y7050" s="6" t="s">
        <v>954</v>
      </c>
    </row>
    <row r="7051">
      <c r="Y7051" s="6" t="s">
        <v>954</v>
      </c>
    </row>
    <row r="7052">
      <c r="Y7052" s="6" t="s">
        <v>954</v>
      </c>
    </row>
    <row r="7053">
      <c r="Y7053" s="6" t="s">
        <v>954</v>
      </c>
    </row>
    <row r="7054">
      <c r="Y7054" s="6" t="s">
        <v>954</v>
      </c>
    </row>
    <row r="7055">
      <c r="Y7055" s="6" t="s">
        <v>954</v>
      </c>
    </row>
    <row r="7056">
      <c r="Y7056" s="6" t="s">
        <v>954</v>
      </c>
    </row>
    <row r="7057">
      <c r="Y7057" s="6" t="s">
        <v>954</v>
      </c>
    </row>
    <row r="7058">
      <c r="Y7058" s="6" t="s">
        <v>954</v>
      </c>
    </row>
    <row r="7059">
      <c r="Y7059" s="6" t="s">
        <v>954</v>
      </c>
    </row>
    <row r="7060">
      <c r="Y7060" s="6" t="s">
        <v>954</v>
      </c>
    </row>
    <row r="7061">
      <c r="Y7061" s="6" t="s">
        <v>954</v>
      </c>
    </row>
    <row r="7062">
      <c r="Y7062" s="6" t="s">
        <v>954</v>
      </c>
    </row>
    <row r="7063">
      <c r="Y7063" s="6" t="s">
        <v>954</v>
      </c>
    </row>
    <row r="7064">
      <c r="Y7064" s="6" t="s">
        <v>954</v>
      </c>
    </row>
    <row r="7065">
      <c r="Y7065" s="6" t="s">
        <v>954</v>
      </c>
    </row>
    <row r="7066">
      <c r="Y7066" s="6" t="s">
        <v>954</v>
      </c>
    </row>
    <row r="7067">
      <c r="Y7067" s="6" t="s">
        <v>954</v>
      </c>
    </row>
    <row r="7068">
      <c r="Y7068" s="6" t="s">
        <v>954</v>
      </c>
    </row>
    <row r="7069">
      <c r="Y7069" s="6" t="s">
        <v>954</v>
      </c>
    </row>
    <row r="7070">
      <c r="Y7070" s="6" t="s">
        <v>954</v>
      </c>
    </row>
    <row r="7071">
      <c r="Y7071" s="6" t="s">
        <v>954</v>
      </c>
    </row>
    <row r="7072">
      <c r="Y7072" s="6" t="s">
        <v>954</v>
      </c>
    </row>
    <row r="7073">
      <c r="Y7073" s="6" t="s">
        <v>954</v>
      </c>
    </row>
    <row r="7074">
      <c r="Y7074" s="6" t="s">
        <v>954</v>
      </c>
    </row>
    <row r="7075">
      <c r="Y7075" s="6" t="s">
        <v>954</v>
      </c>
    </row>
    <row r="7076">
      <c r="Y7076" s="6" t="s">
        <v>954</v>
      </c>
    </row>
    <row r="7077">
      <c r="Y7077" s="6" t="s">
        <v>954</v>
      </c>
    </row>
    <row r="7078">
      <c r="Y7078" s="6" t="s">
        <v>954</v>
      </c>
    </row>
    <row r="7079">
      <c r="Y7079" s="6" t="s">
        <v>954</v>
      </c>
    </row>
    <row r="7080">
      <c r="Y7080" s="6" t="s">
        <v>954</v>
      </c>
    </row>
    <row r="7081">
      <c r="Y7081" s="6" t="s">
        <v>954</v>
      </c>
    </row>
    <row r="7082">
      <c r="Y7082" s="6" t="s">
        <v>954</v>
      </c>
    </row>
    <row r="7083">
      <c r="Y7083" s="6" t="s">
        <v>954</v>
      </c>
    </row>
    <row r="7084">
      <c r="Y7084" s="6" t="s">
        <v>954</v>
      </c>
    </row>
    <row r="7085">
      <c r="Y7085" s="6" t="s">
        <v>954</v>
      </c>
    </row>
    <row r="7086">
      <c r="Y7086" s="6" t="s">
        <v>954</v>
      </c>
    </row>
    <row r="7087">
      <c r="Y7087" s="6" t="s">
        <v>954</v>
      </c>
    </row>
    <row r="7088">
      <c r="Y7088" s="6" t="s">
        <v>954</v>
      </c>
    </row>
    <row r="7089">
      <c r="Y7089" s="6" t="s">
        <v>954</v>
      </c>
    </row>
    <row r="7090">
      <c r="Y7090" s="6" t="s">
        <v>954</v>
      </c>
    </row>
    <row r="7091">
      <c r="Y7091" s="6" t="s">
        <v>954</v>
      </c>
    </row>
    <row r="7092">
      <c r="Y7092" s="6" t="s">
        <v>954</v>
      </c>
    </row>
    <row r="7093">
      <c r="Y7093" s="6" t="s">
        <v>954</v>
      </c>
    </row>
    <row r="7094">
      <c r="Y7094" s="6" t="s">
        <v>954</v>
      </c>
    </row>
    <row r="7095">
      <c r="Y7095" s="6" t="s">
        <v>954</v>
      </c>
    </row>
    <row r="7096">
      <c r="Y7096" s="6" t="s">
        <v>954</v>
      </c>
    </row>
    <row r="7097">
      <c r="Y7097" s="6" t="s">
        <v>954</v>
      </c>
    </row>
    <row r="7098">
      <c r="Y7098" s="6" t="s">
        <v>954</v>
      </c>
    </row>
    <row r="7099">
      <c r="Y7099" s="6" t="s">
        <v>954</v>
      </c>
    </row>
    <row r="7100">
      <c r="Y7100" s="6" t="s">
        <v>954</v>
      </c>
    </row>
    <row r="7101">
      <c r="Y7101" s="6" t="s">
        <v>954</v>
      </c>
    </row>
    <row r="7102">
      <c r="Y7102" s="6" t="s">
        <v>954</v>
      </c>
    </row>
    <row r="7103">
      <c r="Y7103" s="6" t="s">
        <v>954</v>
      </c>
    </row>
    <row r="7104">
      <c r="Y7104" s="6" t="s">
        <v>954</v>
      </c>
    </row>
    <row r="7105">
      <c r="Y7105" s="6" t="s">
        <v>954</v>
      </c>
    </row>
    <row r="7106">
      <c r="Y7106" s="6" t="s">
        <v>954</v>
      </c>
    </row>
    <row r="7107">
      <c r="Y7107" s="6" t="s">
        <v>954</v>
      </c>
    </row>
    <row r="7108">
      <c r="Y7108" s="6" t="s">
        <v>954</v>
      </c>
    </row>
    <row r="7109">
      <c r="Y7109" s="6" t="s">
        <v>954</v>
      </c>
    </row>
    <row r="7110">
      <c r="Y7110" s="6" t="s">
        <v>954</v>
      </c>
    </row>
    <row r="7111">
      <c r="Y7111" s="6" t="s">
        <v>954</v>
      </c>
    </row>
    <row r="7112">
      <c r="Y7112" s="6" t="s">
        <v>954</v>
      </c>
    </row>
    <row r="7113">
      <c r="Y7113" s="6" t="s">
        <v>954</v>
      </c>
    </row>
    <row r="7114">
      <c r="Y7114" s="6" t="s">
        <v>954</v>
      </c>
    </row>
    <row r="7115">
      <c r="Y7115" s="6" t="s">
        <v>954</v>
      </c>
    </row>
    <row r="7116">
      <c r="Y7116" s="6" t="s">
        <v>954</v>
      </c>
    </row>
    <row r="7117">
      <c r="Y7117" s="6" t="s">
        <v>954</v>
      </c>
    </row>
    <row r="7118">
      <c r="Y7118" s="6" t="s">
        <v>954</v>
      </c>
    </row>
    <row r="7119">
      <c r="Y7119" s="6" t="s">
        <v>954</v>
      </c>
    </row>
    <row r="7120">
      <c r="Y7120" s="6" t="s">
        <v>954</v>
      </c>
    </row>
    <row r="7121">
      <c r="Y7121" s="6" t="s">
        <v>954</v>
      </c>
    </row>
    <row r="7122">
      <c r="Y7122" s="6" t="s">
        <v>954</v>
      </c>
    </row>
    <row r="7123">
      <c r="Y7123" s="6" t="s">
        <v>954</v>
      </c>
    </row>
    <row r="7124">
      <c r="Y7124" s="6" t="s">
        <v>954</v>
      </c>
    </row>
    <row r="7125">
      <c r="Y7125" s="6" t="s">
        <v>954</v>
      </c>
    </row>
    <row r="7126">
      <c r="Y7126" s="6" t="s">
        <v>954</v>
      </c>
    </row>
    <row r="7127">
      <c r="Y7127" s="6" t="s">
        <v>954</v>
      </c>
    </row>
    <row r="7128">
      <c r="Y7128" s="6" t="s">
        <v>954</v>
      </c>
    </row>
    <row r="7129">
      <c r="Y7129" s="6" t="s">
        <v>954</v>
      </c>
    </row>
    <row r="7130">
      <c r="Y7130" s="6" t="s">
        <v>954</v>
      </c>
    </row>
    <row r="7131">
      <c r="Y7131" s="6" t="s">
        <v>954</v>
      </c>
    </row>
    <row r="7132">
      <c r="Y7132" s="6" t="s">
        <v>954</v>
      </c>
    </row>
    <row r="7133">
      <c r="Y7133" s="6" t="s">
        <v>954</v>
      </c>
    </row>
    <row r="7134">
      <c r="Y7134" s="6" t="s">
        <v>954</v>
      </c>
    </row>
    <row r="7135">
      <c r="Y7135" s="6" t="s">
        <v>954</v>
      </c>
    </row>
    <row r="7136">
      <c r="Y7136" s="6" t="s">
        <v>954</v>
      </c>
    </row>
    <row r="7137">
      <c r="Y7137" s="6" t="s">
        <v>954</v>
      </c>
    </row>
    <row r="7138">
      <c r="Y7138" s="6" t="s">
        <v>954</v>
      </c>
    </row>
    <row r="7139">
      <c r="Y7139" s="6" t="s">
        <v>954</v>
      </c>
    </row>
    <row r="7140">
      <c r="Y7140" s="6" t="s">
        <v>954</v>
      </c>
    </row>
    <row r="7141">
      <c r="Y7141" s="6" t="s">
        <v>954</v>
      </c>
    </row>
    <row r="7142">
      <c r="Y7142" s="6" t="s">
        <v>954</v>
      </c>
    </row>
    <row r="7143">
      <c r="Y7143" s="6" t="s">
        <v>954</v>
      </c>
    </row>
    <row r="7144">
      <c r="Y7144" s="6" t="s">
        <v>954</v>
      </c>
    </row>
    <row r="7145">
      <c r="Y7145" s="6" t="s">
        <v>954</v>
      </c>
    </row>
    <row r="7146">
      <c r="Y7146" s="6" t="s">
        <v>954</v>
      </c>
    </row>
    <row r="7147">
      <c r="Y7147" s="6" t="s">
        <v>954</v>
      </c>
    </row>
    <row r="7148">
      <c r="Y7148" s="6" t="s">
        <v>954</v>
      </c>
    </row>
    <row r="7149">
      <c r="Y7149" s="6" t="s">
        <v>954</v>
      </c>
    </row>
    <row r="7150">
      <c r="Y7150" s="6" t="s">
        <v>954</v>
      </c>
    </row>
    <row r="7151">
      <c r="Y7151" s="6" t="s">
        <v>954</v>
      </c>
    </row>
    <row r="7152">
      <c r="Y7152" s="6" t="s">
        <v>954</v>
      </c>
    </row>
    <row r="7153">
      <c r="Y7153" s="6" t="s">
        <v>954</v>
      </c>
    </row>
    <row r="7154">
      <c r="Y7154" s="6" t="s">
        <v>954</v>
      </c>
    </row>
    <row r="7155">
      <c r="Y7155" s="6" t="s">
        <v>954</v>
      </c>
    </row>
    <row r="7156">
      <c r="Y7156" s="6" t="s">
        <v>954</v>
      </c>
    </row>
    <row r="7157">
      <c r="Y7157" s="6" t="s">
        <v>954</v>
      </c>
    </row>
    <row r="7158">
      <c r="Y7158" s="6" t="s">
        <v>954</v>
      </c>
    </row>
    <row r="7159">
      <c r="Y7159" s="6" t="s">
        <v>954</v>
      </c>
    </row>
    <row r="7160">
      <c r="Y7160" s="6" t="s">
        <v>954</v>
      </c>
    </row>
    <row r="7161">
      <c r="Y7161" s="6" t="s">
        <v>954</v>
      </c>
    </row>
    <row r="7162">
      <c r="Y7162" s="6" t="s">
        <v>954</v>
      </c>
    </row>
    <row r="7163">
      <c r="Y7163" s="6" t="s">
        <v>954</v>
      </c>
    </row>
    <row r="7164">
      <c r="Y7164" s="6" t="s">
        <v>954</v>
      </c>
    </row>
    <row r="7165">
      <c r="Y7165" s="6" t="s">
        <v>954</v>
      </c>
    </row>
    <row r="7166">
      <c r="Y7166" s="6" t="s">
        <v>954</v>
      </c>
    </row>
    <row r="7167">
      <c r="Y7167" s="6" t="s">
        <v>954</v>
      </c>
    </row>
    <row r="7168">
      <c r="Y7168" s="6" t="s">
        <v>954</v>
      </c>
    </row>
    <row r="7169">
      <c r="Y7169" s="6" t="s">
        <v>954</v>
      </c>
    </row>
    <row r="7170">
      <c r="Y7170" s="6" t="s">
        <v>954</v>
      </c>
    </row>
    <row r="7171">
      <c r="Y7171" s="6" t="s">
        <v>954</v>
      </c>
    </row>
    <row r="7172">
      <c r="Y7172" s="6" t="s">
        <v>954</v>
      </c>
    </row>
    <row r="7173">
      <c r="Y7173" s="6" t="s">
        <v>954</v>
      </c>
    </row>
    <row r="7174">
      <c r="Y7174" s="6" t="s">
        <v>954</v>
      </c>
    </row>
    <row r="7175">
      <c r="Y7175" s="6" t="s">
        <v>954</v>
      </c>
    </row>
    <row r="7176">
      <c r="Y7176" s="6" t="s">
        <v>954</v>
      </c>
    </row>
    <row r="7177">
      <c r="Y7177" s="6" t="s">
        <v>954</v>
      </c>
    </row>
    <row r="7178">
      <c r="Y7178" s="6" t="s">
        <v>954</v>
      </c>
    </row>
    <row r="7179">
      <c r="Y7179" s="6" t="s">
        <v>954</v>
      </c>
    </row>
    <row r="7180">
      <c r="Y7180" s="6" t="s">
        <v>954</v>
      </c>
    </row>
    <row r="7181">
      <c r="Y7181" s="6" t="s">
        <v>954</v>
      </c>
    </row>
    <row r="7182">
      <c r="Y7182" s="6" t="s">
        <v>954</v>
      </c>
    </row>
    <row r="7183">
      <c r="Y7183" s="6" t="s">
        <v>954</v>
      </c>
    </row>
    <row r="7184">
      <c r="Y7184" s="6" t="s">
        <v>954</v>
      </c>
    </row>
    <row r="7185">
      <c r="Y7185" s="6" t="s">
        <v>954</v>
      </c>
    </row>
    <row r="7186">
      <c r="Y7186" s="6" t="s">
        <v>954</v>
      </c>
    </row>
    <row r="7187">
      <c r="Y7187" s="6" t="s">
        <v>954</v>
      </c>
    </row>
    <row r="7188">
      <c r="Y7188" s="6" t="s">
        <v>954</v>
      </c>
    </row>
    <row r="7189">
      <c r="Y7189" s="6" t="s">
        <v>954</v>
      </c>
    </row>
    <row r="7190">
      <c r="Y7190" s="6" t="s">
        <v>954</v>
      </c>
    </row>
    <row r="7191">
      <c r="Y7191" s="6" t="s">
        <v>954</v>
      </c>
    </row>
    <row r="7192">
      <c r="Y7192" s="6" t="s">
        <v>954</v>
      </c>
    </row>
    <row r="7193">
      <c r="Y7193" s="6" t="s">
        <v>954</v>
      </c>
    </row>
    <row r="7194">
      <c r="Y7194" s="6" t="s">
        <v>954</v>
      </c>
    </row>
    <row r="7195">
      <c r="Y7195" s="6" t="s">
        <v>954</v>
      </c>
    </row>
    <row r="7196">
      <c r="Y7196" s="6" t="s">
        <v>954</v>
      </c>
    </row>
    <row r="7197">
      <c r="Y7197" s="6" t="s">
        <v>954</v>
      </c>
    </row>
    <row r="7198">
      <c r="Y7198" s="6" t="s">
        <v>954</v>
      </c>
    </row>
    <row r="7199">
      <c r="Y7199" s="6" t="s">
        <v>954</v>
      </c>
    </row>
    <row r="7200">
      <c r="Y7200" s="6" t="s">
        <v>954</v>
      </c>
    </row>
    <row r="7201">
      <c r="Y7201" s="6" t="s">
        <v>954</v>
      </c>
    </row>
    <row r="7202">
      <c r="Y7202" s="6" t="s">
        <v>954</v>
      </c>
    </row>
    <row r="7203">
      <c r="Y7203" s="6" t="s">
        <v>954</v>
      </c>
    </row>
    <row r="7204">
      <c r="Y7204" s="6" t="s">
        <v>954</v>
      </c>
    </row>
    <row r="7205">
      <c r="Y7205" s="6" t="s">
        <v>954</v>
      </c>
    </row>
    <row r="7206">
      <c r="Y7206" s="6" t="s">
        <v>954</v>
      </c>
    </row>
    <row r="7207">
      <c r="Y7207" s="6" t="s">
        <v>954</v>
      </c>
    </row>
    <row r="7208">
      <c r="Y7208" s="6" t="s">
        <v>954</v>
      </c>
    </row>
    <row r="7209">
      <c r="Y7209" s="6" t="s">
        <v>954</v>
      </c>
    </row>
    <row r="7210">
      <c r="Y7210" s="6" t="s">
        <v>954</v>
      </c>
    </row>
    <row r="7211">
      <c r="Y7211" s="6" t="s">
        <v>954</v>
      </c>
    </row>
    <row r="7212">
      <c r="Y7212" s="6" t="s">
        <v>954</v>
      </c>
    </row>
    <row r="7213">
      <c r="Y7213" s="6" t="s">
        <v>954</v>
      </c>
    </row>
    <row r="7214">
      <c r="Y7214" s="6" t="s">
        <v>954</v>
      </c>
    </row>
    <row r="7215">
      <c r="Y7215" s="6" t="s">
        <v>954</v>
      </c>
    </row>
    <row r="7216">
      <c r="Y7216" s="6" t="s">
        <v>954</v>
      </c>
    </row>
    <row r="7217">
      <c r="Y7217" s="6" t="s">
        <v>954</v>
      </c>
    </row>
    <row r="7218">
      <c r="Y7218" s="6" t="s">
        <v>954</v>
      </c>
    </row>
    <row r="7219">
      <c r="Y7219" s="6" t="s">
        <v>954</v>
      </c>
    </row>
    <row r="7220">
      <c r="Y7220" s="6" t="s">
        <v>954</v>
      </c>
    </row>
    <row r="7221">
      <c r="Y7221" s="6" t="s">
        <v>954</v>
      </c>
    </row>
    <row r="7222">
      <c r="Y7222" s="6" t="s">
        <v>954</v>
      </c>
    </row>
    <row r="7223">
      <c r="Y7223" s="6" t="s">
        <v>954</v>
      </c>
    </row>
    <row r="7224">
      <c r="Y7224" s="6" t="s">
        <v>954</v>
      </c>
    </row>
    <row r="7225">
      <c r="Y7225" s="6" t="s">
        <v>954</v>
      </c>
    </row>
    <row r="7226">
      <c r="Y7226" s="6" t="s">
        <v>954</v>
      </c>
    </row>
    <row r="7227">
      <c r="Y7227" s="6" t="s">
        <v>954</v>
      </c>
    </row>
    <row r="7228">
      <c r="Y7228" s="6" t="s">
        <v>954</v>
      </c>
    </row>
    <row r="7229">
      <c r="Y7229" s="6" t="s">
        <v>954</v>
      </c>
    </row>
    <row r="7230">
      <c r="Y7230" s="6" t="s">
        <v>954</v>
      </c>
    </row>
    <row r="7231">
      <c r="Y7231" s="6" t="s">
        <v>954</v>
      </c>
    </row>
    <row r="7232">
      <c r="Y7232" s="6" t="s">
        <v>954</v>
      </c>
    </row>
    <row r="7233">
      <c r="Y7233" s="6" t="s">
        <v>954</v>
      </c>
    </row>
    <row r="7234">
      <c r="Y7234" s="6" t="s">
        <v>954</v>
      </c>
    </row>
    <row r="7235">
      <c r="Y7235" s="6" t="s">
        <v>954</v>
      </c>
    </row>
    <row r="7236">
      <c r="Y7236" s="6" t="s">
        <v>954</v>
      </c>
    </row>
    <row r="7237">
      <c r="Y7237" s="6" t="s">
        <v>954</v>
      </c>
    </row>
    <row r="7238">
      <c r="Y7238" s="6" t="s">
        <v>954</v>
      </c>
    </row>
    <row r="7239">
      <c r="Y7239" s="6" t="s">
        <v>954</v>
      </c>
    </row>
    <row r="7240">
      <c r="Y7240" s="6" t="s">
        <v>954</v>
      </c>
    </row>
    <row r="7241">
      <c r="Y7241" s="6" t="s">
        <v>954</v>
      </c>
    </row>
    <row r="7242">
      <c r="Y7242" s="6" t="s">
        <v>954</v>
      </c>
    </row>
    <row r="7243">
      <c r="Y7243" s="6" t="s">
        <v>954</v>
      </c>
    </row>
    <row r="7244">
      <c r="Y7244" s="6" t="s">
        <v>954</v>
      </c>
    </row>
    <row r="7245">
      <c r="Y7245" s="6" t="s">
        <v>954</v>
      </c>
    </row>
    <row r="7246">
      <c r="Y7246" s="6" t="s">
        <v>954</v>
      </c>
    </row>
    <row r="7247">
      <c r="Y7247" s="6" t="s">
        <v>954</v>
      </c>
    </row>
    <row r="7248">
      <c r="Y7248" s="6" t="s">
        <v>954</v>
      </c>
    </row>
    <row r="7249">
      <c r="Y7249" s="6" t="s">
        <v>954</v>
      </c>
    </row>
    <row r="7250">
      <c r="Y7250" s="6" t="s">
        <v>954</v>
      </c>
    </row>
    <row r="7251">
      <c r="Y7251" s="6" t="s">
        <v>954</v>
      </c>
    </row>
    <row r="7252">
      <c r="Y7252" s="6" t="s">
        <v>954</v>
      </c>
    </row>
    <row r="7253">
      <c r="Y7253" s="6" t="s">
        <v>954</v>
      </c>
    </row>
    <row r="7254">
      <c r="Y7254" s="6" t="s">
        <v>954</v>
      </c>
    </row>
    <row r="7255">
      <c r="Y7255" s="6" t="s">
        <v>954</v>
      </c>
    </row>
    <row r="7256">
      <c r="Y7256" s="6" t="s">
        <v>954</v>
      </c>
    </row>
    <row r="7257">
      <c r="Y7257" s="6" t="s">
        <v>954</v>
      </c>
    </row>
    <row r="7258">
      <c r="Y7258" s="6" t="s">
        <v>954</v>
      </c>
    </row>
    <row r="7259">
      <c r="Y7259" s="6" t="s">
        <v>954</v>
      </c>
    </row>
    <row r="7260">
      <c r="Y7260" s="6" t="s">
        <v>954</v>
      </c>
    </row>
    <row r="7261">
      <c r="Y7261" s="6" t="s">
        <v>954</v>
      </c>
    </row>
    <row r="7262">
      <c r="Y7262" s="6" t="s">
        <v>954</v>
      </c>
    </row>
    <row r="7263">
      <c r="Y7263" s="6" t="s">
        <v>954</v>
      </c>
    </row>
    <row r="7264">
      <c r="Y7264" s="6" t="s">
        <v>954</v>
      </c>
    </row>
    <row r="7265">
      <c r="Y7265" s="6" t="s">
        <v>954</v>
      </c>
    </row>
    <row r="7266">
      <c r="Y7266" s="6" t="s">
        <v>954</v>
      </c>
    </row>
    <row r="7267">
      <c r="Y7267" s="6" t="s">
        <v>954</v>
      </c>
    </row>
    <row r="7268">
      <c r="Y7268" s="6" t="s">
        <v>954</v>
      </c>
    </row>
    <row r="7269">
      <c r="Y7269" s="6" t="s">
        <v>954</v>
      </c>
    </row>
    <row r="7270">
      <c r="Y7270" s="6" t="s">
        <v>954</v>
      </c>
    </row>
    <row r="7271">
      <c r="Y7271" s="6" t="s">
        <v>954</v>
      </c>
    </row>
    <row r="7272">
      <c r="Y7272" s="6" t="s">
        <v>954</v>
      </c>
    </row>
    <row r="7273">
      <c r="Y7273" s="6" t="s">
        <v>954</v>
      </c>
    </row>
    <row r="7274">
      <c r="Y7274" s="6" t="s">
        <v>954</v>
      </c>
    </row>
    <row r="7275">
      <c r="Y7275" s="6" t="s">
        <v>954</v>
      </c>
    </row>
    <row r="7276">
      <c r="Y7276" s="6" t="s">
        <v>954</v>
      </c>
    </row>
    <row r="7277">
      <c r="Y7277" s="6" t="s">
        <v>954</v>
      </c>
    </row>
    <row r="7278">
      <c r="Y7278" s="6" t="s">
        <v>954</v>
      </c>
    </row>
    <row r="7279">
      <c r="Y7279" s="6" t="s">
        <v>954</v>
      </c>
    </row>
    <row r="7280">
      <c r="Y7280" s="6" t="s">
        <v>954</v>
      </c>
    </row>
    <row r="7281">
      <c r="Y7281" s="6" t="s">
        <v>954</v>
      </c>
    </row>
    <row r="7282">
      <c r="Y7282" s="6" t="s">
        <v>954</v>
      </c>
    </row>
    <row r="7283">
      <c r="Y7283" s="6" t="s">
        <v>954</v>
      </c>
    </row>
    <row r="7284">
      <c r="Y7284" s="6" t="s">
        <v>954</v>
      </c>
    </row>
    <row r="7285">
      <c r="Y7285" s="6" t="s">
        <v>954</v>
      </c>
    </row>
    <row r="7286">
      <c r="Y7286" s="6" t="s">
        <v>954</v>
      </c>
    </row>
    <row r="7287">
      <c r="Y7287" s="6" t="s">
        <v>954</v>
      </c>
    </row>
    <row r="7288">
      <c r="Y7288" s="6" t="s">
        <v>954</v>
      </c>
    </row>
    <row r="7289">
      <c r="Y7289" s="6" t="s">
        <v>954</v>
      </c>
    </row>
    <row r="7290">
      <c r="Y7290" s="6" t="s">
        <v>954</v>
      </c>
    </row>
    <row r="7291">
      <c r="Y7291" s="6" t="s">
        <v>954</v>
      </c>
    </row>
    <row r="7292">
      <c r="Y7292" s="6" t="s">
        <v>954</v>
      </c>
    </row>
    <row r="7293">
      <c r="Y7293" s="6" t="s">
        <v>954</v>
      </c>
    </row>
    <row r="7294">
      <c r="Y7294" s="6" t="s">
        <v>954</v>
      </c>
    </row>
    <row r="7295">
      <c r="Y7295" s="6" t="s">
        <v>954</v>
      </c>
    </row>
    <row r="7296">
      <c r="Y7296" s="6" t="s">
        <v>954</v>
      </c>
    </row>
    <row r="7297">
      <c r="Y7297" s="6" t="s">
        <v>954</v>
      </c>
    </row>
    <row r="7298">
      <c r="Y7298" s="6" t="s">
        <v>954</v>
      </c>
    </row>
    <row r="7299">
      <c r="Y7299" s="6" t="s">
        <v>954</v>
      </c>
    </row>
    <row r="7300">
      <c r="Y7300" s="6" t="s">
        <v>954</v>
      </c>
    </row>
    <row r="7301">
      <c r="Y7301" s="6" t="s">
        <v>954</v>
      </c>
    </row>
    <row r="7302">
      <c r="Y7302" s="6" t="s">
        <v>954</v>
      </c>
    </row>
    <row r="7303">
      <c r="Y7303" s="6" t="s">
        <v>954</v>
      </c>
    </row>
    <row r="7304">
      <c r="Y7304" s="6" t="s">
        <v>954</v>
      </c>
    </row>
    <row r="7305">
      <c r="Y7305" s="6" t="s">
        <v>954</v>
      </c>
    </row>
    <row r="7306">
      <c r="Y7306" s="6" t="s">
        <v>954</v>
      </c>
    </row>
    <row r="7307">
      <c r="Y7307" s="6" t="s">
        <v>954</v>
      </c>
    </row>
    <row r="7308">
      <c r="Y7308" s="6" t="s">
        <v>954</v>
      </c>
    </row>
    <row r="7309">
      <c r="Y7309" s="6" t="s">
        <v>954</v>
      </c>
    </row>
    <row r="7310">
      <c r="Y7310" s="6" t="s">
        <v>954</v>
      </c>
    </row>
    <row r="7311">
      <c r="Y7311" s="6" t="s">
        <v>954</v>
      </c>
    </row>
    <row r="7312">
      <c r="Y7312" s="6" t="s">
        <v>954</v>
      </c>
    </row>
    <row r="7313">
      <c r="Y7313" s="6" t="s">
        <v>954</v>
      </c>
    </row>
    <row r="7314">
      <c r="Y7314" s="6" t="s">
        <v>954</v>
      </c>
    </row>
    <row r="7315">
      <c r="Y7315" s="6" t="s">
        <v>954</v>
      </c>
    </row>
    <row r="7316">
      <c r="Y7316" s="6" t="s">
        <v>954</v>
      </c>
    </row>
    <row r="7317">
      <c r="Y7317" s="6" t="s">
        <v>954</v>
      </c>
    </row>
    <row r="7318">
      <c r="Y7318" s="6" t="s">
        <v>954</v>
      </c>
    </row>
    <row r="7319">
      <c r="Y7319" s="6" t="s">
        <v>954</v>
      </c>
    </row>
    <row r="7320">
      <c r="Y7320" s="6" t="s">
        <v>954</v>
      </c>
    </row>
    <row r="7321">
      <c r="Y7321" s="6" t="s">
        <v>954</v>
      </c>
    </row>
    <row r="7322">
      <c r="Y7322" s="6" t="s">
        <v>954</v>
      </c>
    </row>
    <row r="7323">
      <c r="Y7323" s="6" t="s">
        <v>954</v>
      </c>
    </row>
    <row r="7324">
      <c r="Y7324" s="6" t="s">
        <v>954</v>
      </c>
    </row>
    <row r="7325">
      <c r="Y7325" s="6" t="s">
        <v>954</v>
      </c>
    </row>
    <row r="7326">
      <c r="Y7326" s="6" t="s">
        <v>954</v>
      </c>
    </row>
    <row r="7327">
      <c r="Y7327" s="6" t="s">
        <v>954</v>
      </c>
    </row>
    <row r="7328">
      <c r="Y7328" s="6" t="s">
        <v>954</v>
      </c>
    </row>
    <row r="7329">
      <c r="Y7329" s="6" t="s">
        <v>954</v>
      </c>
    </row>
    <row r="7330">
      <c r="Y7330" s="6" t="s">
        <v>954</v>
      </c>
    </row>
    <row r="7331">
      <c r="Y7331" s="6" t="s">
        <v>954</v>
      </c>
    </row>
    <row r="7332">
      <c r="Y7332" s="6" t="s">
        <v>954</v>
      </c>
    </row>
    <row r="7333">
      <c r="Y7333" s="6" t="s">
        <v>954</v>
      </c>
    </row>
    <row r="7334">
      <c r="Y7334" s="6" t="s">
        <v>954</v>
      </c>
    </row>
    <row r="7335">
      <c r="Y7335" s="6" t="s">
        <v>954</v>
      </c>
    </row>
    <row r="7336">
      <c r="Y7336" s="6" t="s">
        <v>954</v>
      </c>
    </row>
    <row r="7337">
      <c r="Y7337" s="6" t="s">
        <v>954</v>
      </c>
    </row>
    <row r="7338">
      <c r="Y7338" s="6" t="s">
        <v>954</v>
      </c>
    </row>
    <row r="7339">
      <c r="Y7339" s="6" t="s">
        <v>954</v>
      </c>
    </row>
    <row r="7340">
      <c r="Y7340" s="6" t="s">
        <v>954</v>
      </c>
    </row>
    <row r="7341">
      <c r="Y7341" s="6" t="s">
        <v>954</v>
      </c>
    </row>
    <row r="7342">
      <c r="Y7342" s="6" t="s">
        <v>954</v>
      </c>
    </row>
    <row r="7343">
      <c r="Y7343" s="6" t="s">
        <v>954</v>
      </c>
    </row>
    <row r="7344">
      <c r="Y7344" s="6" t="s">
        <v>954</v>
      </c>
    </row>
    <row r="7345">
      <c r="Y7345" s="6" t="s">
        <v>954</v>
      </c>
    </row>
    <row r="7346">
      <c r="Y7346" s="6" t="s">
        <v>954</v>
      </c>
    </row>
    <row r="7347">
      <c r="Y7347" s="6" t="s">
        <v>954</v>
      </c>
    </row>
    <row r="7348">
      <c r="Y7348" s="6" t="s">
        <v>954</v>
      </c>
    </row>
    <row r="7349">
      <c r="Y7349" s="6" t="s">
        <v>954</v>
      </c>
    </row>
    <row r="7350">
      <c r="Y7350" s="6" t="s">
        <v>954</v>
      </c>
    </row>
    <row r="7351">
      <c r="Y7351" s="6" t="s">
        <v>954</v>
      </c>
    </row>
    <row r="7352">
      <c r="Y7352" s="6" t="s">
        <v>954</v>
      </c>
    </row>
    <row r="7353">
      <c r="Y7353" s="6" t="s">
        <v>954</v>
      </c>
    </row>
    <row r="7354">
      <c r="Y7354" s="6" t="s">
        <v>954</v>
      </c>
    </row>
    <row r="7355">
      <c r="Y7355" s="6" t="s">
        <v>954</v>
      </c>
    </row>
    <row r="7356">
      <c r="Y7356" s="6" t="s">
        <v>954</v>
      </c>
    </row>
    <row r="7357">
      <c r="Y7357" s="6" t="s">
        <v>954</v>
      </c>
    </row>
    <row r="7358">
      <c r="Y7358" s="6" t="s">
        <v>954</v>
      </c>
    </row>
    <row r="7359">
      <c r="Y7359" s="6" t="s">
        <v>954</v>
      </c>
    </row>
    <row r="7360">
      <c r="Y7360" s="6" t="s">
        <v>954</v>
      </c>
    </row>
    <row r="7361">
      <c r="Y7361" s="6" t="s">
        <v>954</v>
      </c>
    </row>
    <row r="7362">
      <c r="Y7362" s="6" t="s">
        <v>954</v>
      </c>
    </row>
    <row r="7363">
      <c r="Y7363" s="6" t="s">
        <v>954</v>
      </c>
    </row>
    <row r="7364">
      <c r="Y7364" s="6" t="s">
        <v>954</v>
      </c>
    </row>
    <row r="7365">
      <c r="Y7365" s="6" t="s">
        <v>954</v>
      </c>
    </row>
    <row r="7366">
      <c r="Y7366" s="6" t="s">
        <v>954</v>
      </c>
    </row>
    <row r="7367">
      <c r="Y7367" s="6" t="s">
        <v>954</v>
      </c>
    </row>
    <row r="7368">
      <c r="Y7368" s="6" t="s">
        <v>954</v>
      </c>
    </row>
    <row r="7369">
      <c r="Y7369" s="6" t="s">
        <v>954</v>
      </c>
    </row>
    <row r="7370">
      <c r="Y7370" s="6" t="s">
        <v>954</v>
      </c>
    </row>
    <row r="7371">
      <c r="Y7371" s="6" t="s">
        <v>954</v>
      </c>
    </row>
    <row r="7372">
      <c r="Y7372" s="6" t="s">
        <v>954</v>
      </c>
    </row>
    <row r="7373">
      <c r="Y7373" s="6" t="s">
        <v>954</v>
      </c>
    </row>
    <row r="7374">
      <c r="Y7374" s="6" t="s">
        <v>954</v>
      </c>
    </row>
    <row r="7375">
      <c r="Y7375" s="6" t="s">
        <v>954</v>
      </c>
    </row>
    <row r="7376">
      <c r="Y7376" s="6" t="s">
        <v>954</v>
      </c>
    </row>
    <row r="7377">
      <c r="Y7377" s="6" t="s">
        <v>954</v>
      </c>
    </row>
    <row r="7378">
      <c r="Y7378" s="6" t="s">
        <v>954</v>
      </c>
    </row>
    <row r="7379">
      <c r="Y7379" s="6" t="s">
        <v>954</v>
      </c>
    </row>
    <row r="7380">
      <c r="Y7380" s="6" t="s">
        <v>954</v>
      </c>
    </row>
    <row r="7381">
      <c r="Y7381" s="6" t="s">
        <v>954</v>
      </c>
    </row>
    <row r="7382">
      <c r="Y7382" s="6" t="s">
        <v>954</v>
      </c>
    </row>
    <row r="7383">
      <c r="Y7383" s="6" t="s">
        <v>954</v>
      </c>
    </row>
    <row r="7384">
      <c r="Y7384" s="6" t="s">
        <v>954</v>
      </c>
    </row>
    <row r="7385">
      <c r="Y7385" s="6" t="s">
        <v>954</v>
      </c>
    </row>
    <row r="7386">
      <c r="Y7386" s="6" t="s">
        <v>954</v>
      </c>
    </row>
    <row r="7387">
      <c r="Y7387" s="6" t="s">
        <v>954</v>
      </c>
    </row>
    <row r="7388">
      <c r="Y7388" s="6" t="s">
        <v>954</v>
      </c>
    </row>
    <row r="7389">
      <c r="Y7389" s="6" t="s">
        <v>954</v>
      </c>
    </row>
    <row r="7390">
      <c r="Y7390" s="6" t="s">
        <v>954</v>
      </c>
    </row>
    <row r="7391">
      <c r="Y7391" s="6" t="s">
        <v>954</v>
      </c>
    </row>
    <row r="7392">
      <c r="Y7392" s="6" t="s">
        <v>954</v>
      </c>
    </row>
    <row r="7393">
      <c r="Y7393" s="6" t="s">
        <v>954</v>
      </c>
    </row>
    <row r="7394">
      <c r="Y7394" s="6" t="s">
        <v>954</v>
      </c>
    </row>
    <row r="7395">
      <c r="Y7395" s="6" t="s">
        <v>954</v>
      </c>
    </row>
    <row r="7396">
      <c r="Y7396" s="6" t="s">
        <v>954</v>
      </c>
    </row>
    <row r="7397">
      <c r="Y7397" s="6" t="s">
        <v>954</v>
      </c>
    </row>
    <row r="7398">
      <c r="Y7398" s="6" t="s">
        <v>954</v>
      </c>
    </row>
    <row r="7399">
      <c r="Y7399" s="6" t="s">
        <v>954</v>
      </c>
    </row>
    <row r="7400">
      <c r="Y7400" s="6" t="s">
        <v>954</v>
      </c>
    </row>
    <row r="7401">
      <c r="Y7401" s="6" t="s">
        <v>954</v>
      </c>
    </row>
    <row r="7402">
      <c r="Y7402" s="6" t="s">
        <v>954</v>
      </c>
    </row>
    <row r="7403">
      <c r="Y7403" s="6" t="s">
        <v>954</v>
      </c>
    </row>
    <row r="7404">
      <c r="Y7404" s="6" t="s">
        <v>954</v>
      </c>
    </row>
    <row r="7405">
      <c r="Y7405" s="6" t="s">
        <v>954</v>
      </c>
    </row>
    <row r="7406">
      <c r="Y7406" s="6" t="s">
        <v>954</v>
      </c>
    </row>
    <row r="7407">
      <c r="Y7407" s="6" t="s">
        <v>954</v>
      </c>
    </row>
    <row r="7408">
      <c r="Y7408" s="6" t="s">
        <v>954</v>
      </c>
    </row>
    <row r="7409">
      <c r="Y7409" s="6" t="s">
        <v>954</v>
      </c>
    </row>
    <row r="7410">
      <c r="Y7410" s="6" t="s">
        <v>954</v>
      </c>
    </row>
    <row r="7411">
      <c r="Y7411" s="6" t="s">
        <v>954</v>
      </c>
    </row>
    <row r="7412">
      <c r="Y7412" s="6" t="s">
        <v>954</v>
      </c>
    </row>
    <row r="7413">
      <c r="Y7413" s="6" t="s">
        <v>954</v>
      </c>
    </row>
    <row r="7414">
      <c r="Y7414" s="6" t="s">
        <v>954</v>
      </c>
    </row>
    <row r="7415">
      <c r="Y7415" s="6" t="s">
        <v>954</v>
      </c>
    </row>
    <row r="7416">
      <c r="Y7416" s="6" t="s">
        <v>954</v>
      </c>
    </row>
    <row r="7417">
      <c r="Y7417" s="6" t="s">
        <v>954</v>
      </c>
    </row>
    <row r="7418">
      <c r="Y7418" s="6" t="s">
        <v>954</v>
      </c>
    </row>
    <row r="7419">
      <c r="Y7419" s="6" t="s">
        <v>954</v>
      </c>
    </row>
    <row r="7420">
      <c r="Y7420" s="6" t="s">
        <v>954</v>
      </c>
    </row>
    <row r="7421">
      <c r="Y7421" s="6" t="s">
        <v>954</v>
      </c>
    </row>
    <row r="7422">
      <c r="Y7422" s="6" t="s">
        <v>954</v>
      </c>
    </row>
    <row r="7423">
      <c r="Y7423" s="6" t="s">
        <v>954</v>
      </c>
    </row>
    <row r="7424">
      <c r="Y7424" s="6" t="s">
        <v>954</v>
      </c>
    </row>
    <row r="7425">
      <c r="Y7425" s="6" t="s">
        <v>954</v>
      </c>
    </row>
    <row r="7426">
      <c r="Y7426" s="6" t="s">
        <v>954</v>
      </c>
    </row>
    <row r="7427">
      <c r="Y7427" s="6" t="s">
        <v>954</v>
      </c>
    </row>
    <row r="7428">
      <c r="Y7428" s="6" t="s">
        <v>954</v>
      </c>
    </row>
    <row r="7429">
      <c r="Y7429" s="6" t="s">
        <v>954</v>
      </c>
    </row>
    <row r="7430">
      <c r="Y7430" s="6" t="s">
        <v>954</v>
      </c>
    </row>
    <row r="7431">
      <c r="Y7431" s="6" t="s">
        <v>954</v>
      </c>
    </row>
    <row r="7432">
      <c r="Y7432" s="6" t="s">
        <v>954</v>
      </c>
    </row>
    <row r="7433">
      <c r="Y7433" s="6" t="s">
        <v>954</v>
      </c>
    </row>
    <row r="7434">
      <c r="Y7434" s="6" t="s">
        <v>954</v>
      </c>
    </row>
    <row r="7435">
      <c r="Y7435" s="6" t="s">
        <v>954</v>
      </c>
    </row>
    <row r="7436">
      <c r="Y7436" s="6" t="s">
        <v>954</v>
      </c>
    </row>
    <row r="7437">
      <c r="Y7437" s="6" t="s">
        <v>954</v>
      </c>
    </row>
    <row r="7438">
      <c r="Y7438" s="6" t="s">
        <v>954</v>
      </c>
    </row>
    <row r="7439">
      <c r="Y7439" s="6" t="s">
        <v>954</v>
      </c>
    </row>
    <row r="7440">
      <c r="Y7440" s="6" t="s">
        <v>954</v>
      </c>
    </row>
    <row r="7441">
      <c r="Y7441" s="6" t="s">
        <v>954</v>
      </c>
    </row>
    <row r="7442">
      <c r="Y7442" s="6" t="s">
        <v>954</v>
      </c>
    </row>
    <row r="7443">
      <c r="Y7443" s="6" t="s">
        <v>954</v>
      </c>
    </row>
    <row r="7444">
      <c r="Y7444" s="6" t="s">
        <v>954</v>
      </c>
    </row>
    <row r="7445">
      <c r="Y7445" s="6" t="s">
        <v>954</v>
      </c>
    </row>
    <row r="7446">
      <c r="Y7446" s="6" t="s">
        <v>954</v>
      </c>
    </row>
    <row r="7447">
      <c r="Y7447" s="6" t="s">
        <v>954</v>
      </c>
    </row>
    <row r="7448">
      <c r="Y7448" s="6" t="s">
        <v>954</v>
      </c>
    </row>
    <row r="7449">
      <c r="Y7449" s="6" t="s">
        <v>954</v>
      </c>
    </row>
    <row r="7450">
      <c r="Y7450" s="6" t="s">
        <v>954</v>
      </c>
    </row>
    <row r="7451">
      <c r="Y7451" s="6" t="s">
        <v>954</v>
      </c>
    </row>
    <row r="7452">
      <c r="Y7452" s="6" t="s">
        <v>954</v>
      </c>
    </row>
    <row r="7453">
      <c r="Y7453" s="6" t="s">
        <v>954</v>
      </c>
    </row>
    <row r="7454">
      <c r="Y7454" s="6" t="s">
        <v>954</v>
      </c>
    </row>
    <row r="7455">
      <c r="Y7455" s="6" t="s">
        <v>954</v>
      </c>
    </row>
    <row r="7456">
      <c r="Y7456" s="6" t="s">
        <v>954</v>
      </c>
    </row>
    <row r="7457">
      <c r="Y7457" s="6" t="s">
        <v>954</v>
      </c>
    </row>
    <row r="7458">
      <c r="Y7458" s="6" t="s">
        <v>954</v>
      </c>
    </row>
    <row r="7459">
      <c r="Y7459" s="6" t="s">
        <v>954</v>
      </c>
    </row>
    <row r="7460">
      <c r="Y7460" s="6" t="s">
        <v>954</v>
      </c>
    </row>
    <row r="7461">
      <c r="Y7461" s="6" t="s">
        <v>954</v>
      </c>
    </row>
    <row r="7462">
      <c r="Y7462" s="6" t="s">
        <v>954</v>
      </c>
    </row>
    <row r="7463">
      <c r="Y7463" s="6" t="s">
        <v>954</v>
      </c>
    </row>
    <row r="7464">
      <c r="Y7464" s="6" t="s">
        <v>954</v>
      </c>
    </row>
    <row r="7465">
      <c r="Y7465" s="6" t="s">
        <v>954</v>
      </c>
    </row>
    <row r="7466">
      <c r="Y7466" s="6" t="s">
        <v>954</v>
      </c>
    </row>
    <row r="7467">
      <c r="Y7467" s="6" t="s">
        <v>954</v>
      </c>
    </row>
    <row r="7468">
      <c r="Y7468" s="6" t="s">
        <v>954</v>
      </c>
    </row>
    <row r="7469">
      <c r="Y7469" s="6" t="s">
        <v>954</v>
      </c>
    </row>
    <row r="7470">
      <c r="Y7470" s="6" t="s">
        <v>954</v>
      </c>
    </row>
    <row r="7471">
      <c r="Y7471" s="6" t="s">
        <v>954</v>
      </c>
    </row>
    <row r="7472">
      <c r="Y7472" s="6" t="s">
        <v>954</v>
      </c>
    </row>
    <row r="7473">
      <c r="Y7473" s="6" t="s">
        <v>954</v>
      </c>
    </row>
    <row r="7474">
      <c r="Y7474" s="6" t="s">
        <v>954</v>
      </c>
    </row>
    <row r="7475">
      <c r="Y7475" s="6" t="s">
        <v>954</v>
      </c>
    </row>
    <row r="7476">
      <c r="Y7476" s="6" t="s">
        <v>954</v>
      </c>
    </row>
    <row r="7477">
      <c r="Y7477" s="6" t="s">
        <v>954</v>
      </c>
    </row>
    <row r="7478">
      <c r="Y7478" s="6" t="s">
        <v>954</v>
      </c>
    </row>
    <row r="7479">
      <c r="Y7479" s="6" t="s">
        <v>954</v>
      </c>
    </row>
    <row r="7480">
      <c r="Y7480" s="6" t="s">
        <v>954</v>
      </c>
    </row>
    <row r="7481">
      <c r="Y7481" s="6" t="s">
        <v>954</v>
      </c>
    </row>
    <row r="7482">
      <c r="Y7482" s="6" t="s">
        <v>954</v>
      </c>
    </row>
    <row r="7483">
      <c r="Y7483" s="6" t="s">
        <v>954</v>
      </c>
    </row>
    <row r="7484">
      <c r="Y7484" s="6" t="s">
        <v>954</v>
      </c>
    </row>
    <row r="7485">
      <c r="Y7485" s="6" t="s">
        <v>954</v>
      </c>
    </row>
    <row r="7486">
      <c r="Y7486" s="6" t="s">
        <v>954</v>
      </c>
    </row>
    <row r="7487">
      <c r="Y7487" s="6" t="s">
        <v>954</v>
      </c>
    </row>
    <row r="7488">
      <c r="Y7488" s="6" t="s">
        <v>954</v>
      </c>
    </row>
    <row r="7489">
      <c r="Y7489" s="6" t="s">
        <v>954</v>
      </c>
    </row>
    <row r="7490">
      <c r="Y7490" s="6" t="s">
        <v>954</v>
      </c>
    </row>
    <row r="7491">
      <c r="Y7491" s="6" t="s">
        <v>954</v>
      </c>
    </row>
    <row r="7492">
      <c r="Y7492" s="6" t="s">
        <v>954</v>
      </c>
    </row>
    <row r="7493">
      <c r="Y7493" s="6" t="s">
        <v>954</v>
      </c>
    </row>
    <row r="7494">
      <c r="Y7494" s="6" t="s">
        <v>954</v>
      </c>
    </row>
    <row r="7495">
      <c r="Y7495" s="6" t="s">
        <v>954</v>
      </c>
    </row>
    <row r="7496">
      <c r="Y7496" s="6" t="s">
        <v>954</v>
      </c>
    </row>
    <row r="7497">
      <c r="Y7497" s="6" t="s">
        <v>954</v>
      </c>
    </row>
    <row r="7498">
      <c r="Y7498" s="6" t="s">
        <v>954</v>
      </c>
    </row>
    <row r="7499">
      <c r="Y7499" s="6" t="s">
        <v>954</v>
      </c>
    </row>
    <row r="7500">
      <c r="Y7500" s="6" t="s">
        <v>954</v>
      </c>
    </row>
    <row r="7501">
      <c r="Y7501" s="6" t="s">
        <v>954</v>
      </c>
    </row>
    <row r="7502">
      <c r="Y7502" s="6" t="s">
        <v>954</v>
      </c>
    </row>
    <row r="7503">
      <c r="Y7503" s="6" t="s">
        <v>954</v>
      </c>
    </row>
    <row r="7504">
      <c r="Y7504" s="6" t="s">
        <v>954</v>
      </c>
    </row>
    <row r="7505">
      <c r="Y7505" s="6" t="s">
        <v>954</v>
      </c>
    </row>
    <row r="7506">
      <c r="Y7506" s="6" t="s">
        <v>954</v>
      </c>
    </row>
    <row r="7507">
      <c r="Y7507" s="6" t="s">
        <v>954</v>
      </c>
    </row>
    <row r="7508">
      <c r="Y7508" s="6" t="s">
        <v>954</v>
      </c>
    </row>
    <row r="7509">
      <c r="Y7509" s="6" t="s">
        <v>954</v>
      </c>
    </row>
    <row r="7510">
      <c r="Y7510" s="6" t="s">
        <v>954</v>
      </c>
    </row>
    <row r="7511">
      <c r="Y7511" s="6" t="s">
        <v>954</v>
      </c>
    </row>
    <row r="7512">
      <c r="Y7512" s="6" t="s">
        <v>954</v>
      </c>
    </row>
    <row r="7513">
      <c r="Y7513" s="6" t="s">
        <v>954</v>
      </c>
    </row>
    <row r="7514">
      <c r="Y7514" s="6" t="s">
        <v>954</v>
      </c>
    </row>
    <row r="7515">
      <c r="Y7515" s="6" t="s">
        <v>954</v>
      </c>
    </row>
    <row r="7516">
      <c r="Y7516" s="6" t="s">
        <v>954</v>
      </c>
    </row>
    <row r="7517">
      <c r="Y7517" s="6" t="s">
        <v>954</v>
      </c>
    </row>
    <row r="7518">
      <c r="Y7518" s="6" t="s">
        <v>954</v>
      </c>
    </row>
    <row r="7519">
      <c r="Y7519" s="6" t="s">
        <v>954</v>
      </c>
    </row>
    <row r="7520">
      <c r="Y7520" s="6" t="s">
        <v>954</v>
      </c>
    </row>
    <row r="7521">
      <c r="Y7521" s="6" t="s">
        <v>954</v>
      </c>
    </row>
    <row r="7522">
      <c r="Y7522" s="6" t="s">
        <v>954</v>
      </c>
    </row>
    <row r="7523">
      <c r="Y7523" s="6" t="s">
        <v>954</v>
      </c>
    </row>
    <row r="7524">
      <c r="Y7524" s="6" t="s">
        <v>954</v>
      </c>
    </row>
    <row r="7525">
      <c r="Y7525" s="6" t="s">
        <v>954</v>
      </c>
    </row>
    <row r="7526">
      <c r="Y7526" s="6" t="s">
        <v>954</v>
      </c>
    </row>
    <row r="7527">
      <c r="Y7527" s="6" t="s">
        <v>954</v>
      </c>
    </row>
    <row r="7528">
      <c r="Y7528" s="6" t="s">
        <v>954</v>
      </c>
    </row>
    <row r="7529">
      <c r="Y7529" s="6" t="s">
        <v>954</v>
      </c>
    </row>
    <row r="7530">
      <c r="Y7530" s="6" t="s">
        <v>954</v>
      </c>
    </row>
    <row r="7531">
      <c r="Y7531" s="6" t="s">
        <v>954</v>
      </c>
    </row>
    <row r="7532">
      <c r="Y7532" s="6" t="s">
        <v>954</v>
      </c>
    </row>
    <row r="7533">
      <c r="Y7533" s="6" t="s">
        <v>954</v>
      </c>
    </row>
    <row r="7534">
      <c r="Y7534" s="6" t="s">
        <v>954</v>
      </c>
    </row>
    <row r="7535">
      <c r="Y7535" s="6" t="s">
        <v>954</v>
      </c>
    </row>
    <row r="7536">
      <c r="Y7536" s="6" t="s">
        <v>954</v>
      </c>
    </row>
    <row r="7537">
      <c r="Y7537" s="6" t="s">
        <v>954</v>
      </c>
    </row>
    <row r="7538">
      <c r="Y7538" s="6" t="s">
        <v>954</v>
      </c>
    </row>
    <row r="7539">
      <c r="Y7539" s="6" t="s">
        <v>954</v>
      </c>
    </row>
    <row r="7540">
      <c r="Y7540" s="6" t="s">
        <v>954</v>
      </c>
    </row>
    <row r="7541">
      <c r="Y7541" s="6" t="s">
        <v>954</v>
      </c>
    </row>
    <row r="7542">
      <c r="Y7542" s="6" t="s">
        <v>954</v>
      </c>
    </row>
    <row r="7543">
      <c r="Y7543" s="6" t="s">
        <v>954</v>
      </c>
    </row>
    <row r="7544">
      <c r="Y7544" s="6" t="s">
        <v>954</v>
      </c>
    </row>
    <row r="7545">
      <c r="Y7545" s="6" t="s">
        <v>954</v>
      </c>
    </row>
    <row r="7546">
      <c r="Y7546" s="6" t="s">
        <v>954</v>
      </c>
    </row>
    <row r="7547">
      <c r="Y7547" s="6" t="s">
        <v>954</v>
      </c>
    </row>
    <row r="7548">
      <c r="Y7548" s="6" t="s">
        <v>954</v>
      </c>
    </row>
    <row r="7549">
      <c r="Y7549" s="6" t="s">
        <v>954</v>
      </c>
    </row>
    <row r="7550">
      <c r="Y7550" s="6" t="s">
        <v>954</v>
      </c>
    </row>
    <row r="7551">
      <c r="Y7551" s="6" t="s">
        <v>954</v>
      </c>
    </row>
    <row r="7552">
      <c r="Y7552" s="6" t="s">
        <v>954</v>
      </c>
    </row>
    <row r="7553">
      <c r="Y7553" s="6" t="s">
        <v>954</v>
      </c>
    </row>
    <row r="7554">
      <c r="Y7554" s="6" t="s">
        <v>954</v>
      </c>
    </row>
    <row r="7555">
      <c r="Y7555" s="6" t="s">
        <v>954</v>
      </c>
    </row>
    <row r="7556">
      <c r="Y7556" s="6" t="s">
        <v>954</v>
      </c>
    </row>
    <row r="7557">
      <c r="Y7557" s="6" t="s">
        <v>954</v>
      </c>
    </row>
    <row r="7558">
      <c r="Y7558" s="6" t="s">
        <v>954</v>
      </c>
    </row>
    <row r="7559">
      <c r="Y7559" s="6" t="s">
        <v>954</v>
      </c>
    </row>
    <row r="7560">
      <c r="Y7560" s="6" t="s">
        <v>954</v>
      </c>
    </row>
    <row r="7561">
      <c r="Y7561" s="6" t="s">
        <v>954</v>
      </c>
    </row>
    <row r="7562">
      <c r="Y7562" s="6" t="s">
        <v>954</v>
      </c>
    </row>
    <row r="7563">
      <c r="Y7563" s="6" t="s">
        <v>954</v>
      </c>
    </row>
    <row r="7564">
      <c r="Y7564" s="6" t="s">
        <v>954</v>
      </c>
    </row>
    <row r="7565">
      <c r="Y7565" s="6" t="s">
        <v>954</v>
      </c>
    </row>
    <row r="7566">
      <c r="Y7566" s="6" t="s">
        <v>954</v>
      </c>
    </row>
    <row r="7567">
      <c r="Y7567" s="6" t="s">
        <v>954</v>
      </c>
    </row>
    <row r="7568">
      <c r="Y7568" s="6" t="s">
        <v>954</v>
      </c>
    </row>
    <row r="7569">
      <c r="Y7569" s="6" t="s">
        <v>954</v>
      </c>
    </row>
    <row r="7570">
      <c r="Y7570" s="6" t="s">
        <v>954</v>
      </c>
    </row>
    <row r="7571">
      <c r="Y7571" s="6" t="s">
        <v>954</v>
      </c>
    </row>
    <row r="7572">
      <c r="Y7572" s="6" t="s">
        <v>954</v>
      </c>
    </row>
    <row r="7573">
      <c r="Y7573" s="6" t="s">
        <v>954</v>
      </c>
    </row>
    <row r="7574">
      <c r="Y7574" s="6" t="s">
        <v>954</v>
      </c>
    </row>
    <row r="7575">
      <c r="Y7575" s="6" t="s">
        <v>954</v>
      </c>
    </row>
    <row r="7576">
      <c r="Y7576" s="6" t="s">
        <v>954</v>
      </c>
    </row>
    <row r="7577">
      <c r="Y7577" s="6" t="s">
        <v>954</v>
      </c>
    </row>
    <row r="7578">
      <c r="Y7578" s="6" t="s">
        <v>954</v>
      </c>
    </row>
    <row r="7579">
      <c r="Y7579" s="6" t="s">
        <v>954</v>
      </c>
    </row>
    <row r="7580">
      <c r="Y7580" s="6" t="s">
        <v>954</v>
      </c>
    </row>
    <row r="7581">
      <c r="Y7581" s="6" t="s">
        <v>954</v>
      </c>
    </row>
    <row r="7582">
      <c r="Y7582" s="6" t="s">
        <v>954</v>
      </c>
    </row>
    <row r="7583">
      <c r="Y7583" s="6" t="s">
        <v>954</v>
      </c>
    </row>
    <row r="7584">
      <c r="Y7584" s="6" t="s">
        <v>954</v>
      </c>
    </row>
    <row r="7585">
      <c r="Y7585" s="6" t="s">
        <v>954</v>
      </c>
    </row>
    <row r="7586">
      <c r="Y7586" s="6" t="s">
        <v>954</v>
      </c>
    </row>
    <row r="7587">
      <c r="Y7587" s="6" t="s">
        <v>954</v>
      </c>
    </row>
    <row r="7588">
      <c r="Y7588" s="6" t="s">
        <v>954</v>
      </c>
    </row>
    <row r="7589">
      <c r="Y7589" s="6" t="s">
        <v>954</v>
      </c>
    </row>
    <row r="7590">
      <c r="Y7590" s="6" t="s">
        <v>954</v>
      </c>
    </row>
    <row r="7591">
      <c r="Y7591" s="6" t="s">
        <v>954</v>
      </c>
    </row>
    <row r="7592">
      <c r="Y7592" s="6" t="s">
        <v>954</v>
      </c>
    </row>
    <row r="7593">
      <c r="Y7593" s="6" t="s">
        <v>954</v>
      </c>
    </row>
    <row r="7594">
      <c r="Y7594" s="6" t="s">
        <v>954</v>
      </c>
    </row>
    <row r="7595">
      <c r="Y7595" s="6" t="s">
        <v>954</v>
      </c>
    </row>
    <row r="7596">
      <c r="Y7596" s="6" t="s">
        <v>954</v>
      </c>
    </row>
    <row r="7597">
      <c r="Y7597" s="6" t="s">
        <v>954</v>
      </c>
    </row>
    <row r="7598">
      <c r="Y7598" s="6" t="s">
        <v>954</v>
      </c>
    </row>
    <row r="7599">
      <c r="Y7599" s="6" t="s">
        <v>954</v>
      </c>
    </row>
    <row r="7600">
      <c r="Y7600" s="6" t="s">
        <v>954</v>
      </c>
    </row>
    <row r="7601">
      <c r="Y7601" s="6" t="s">
        <v>954</v>
      </c>
    </row>
    <row r="7602">
      <c r="Y7602" s="6" t="s">
        <v>954</v>
      </c>
    </row>
    <row r="7603">
      <c r="Y7603" s="6" t="s">
        <v>954</v>
      </c>
    </row>
    <row r="7604">
      <c r="Y7604" s="6" t="s">
        <v>954</v>
      </c>
    </row>
    <row r="7605">
      <c r="Y7605" s="6" t="s">
        <v>954</v>
      </c>
    </row>
    <row r="7606">
      <c r="Y7606" s="6" t="s">
        <v>954</v>
      </c>
    </row>
    <row r="7607">
      <c r="Y7607" s="6" t="s">
        <v>954</v>
      </c>
    </row>
    <row r="7608">
      <c r="Y7608" s="6" t="s">
        <v>954</v>
      </c>
    </row>
    <row r="7609">
      <c r="Y7609" s="6" t="s">
        <v>954</v>
      </c>
    </row>
    <row r="7610">
      <c r="Y7610" s="6" t="s">
        <v>954</v>
      </c>
    </row>
    <row r="7611">
      <c r="Y7611" s="6" t="s">
        <v>954</v>
      </c>
    </row>
    <row r="7612">
      <c r="Y7612" s="6" t="s">
        <v>954</v>
      </c>
    </row>
    <row r="7613">
      <c r="Y7613" s="6" t="s">
        <v>954</v>
      </c>
    </row>
    <row r="7614">
      <c r="Y7614" s="6" t="s">
        <v>954</v>
      </c>
    </row>
    <row r="7615">
      <c r="Y7615" s="6" t="s">
        <v>954</v>
      </c>
    </row>
    <row r="7616">
      <c r="Y7616" s="6" t="s">
        <v>954</v>
      </c>
    </row>
    <row r="7617">
      <c r="Y7617" s="6" t="s">
        <v>954</v>
      </c>
    </row>
    <row r="7618">
      <c r="Y7618" s="6" t="s">
        <v>954</v>
      </c>
    </row>
    <row r="7619">
      <c r="Y7619" s="6" t="s">
        <v>954</v>
      </c>
    </row>
    <row r="7620">
      <c r="Y7620" s="6" t="s">
        <v>954</v>
      </c>
    </row>
    <row r="7621">
      <c r="Y7621" s="6" t="s">
        <v>954</v>
      </c>
    </row>
    <row r="7622">
      <c r="Y7622" s="6" t="s">
        <v>954</v>
      </c>
    </row>
    <row r="7623">
      <c r="Y7623" s="6" t="s">
        <v>954</v>
      </c>
    </row>
    <row r="7624">
      <c r="Y7624" s="6" t="s">
        <v>954</v>
      </c>
    </row>
    <row r="7625">
      <c r="Y7625" s="6" t="s">
        <v>954</v>
      </c>
    </row>
    <row r="7626">
      <c r="Y7626" s="6" t="s">
        <v>954</v>
      </c>
    </row>
    <row r="7627">
      <c r="Y7627" s="6" t="s">
        <v>954</v>
      </c>
    </row>
    <row r="7628">
      <c r="Y7628" s="6" t="s">
        <v>954</v>
      </c>
    </row>
    <row r="7629">
      <c r="Y7629" s="6" t="s">
        <v>954</v>
      </c>
    </row>
    <row r="7630">
      <c r="Y7630" s="6" t="s">
        <v>954</v>
      </c>
    </row>
    <row r="7631">
      <c r="Y7631" s="6" t="s">
        <v>954</v>
      </c>
    </row>
    <row r="7632">
      <c r="Y7632" s="6" t="s">
        <v>954</v>
      </c>
    </row>
    <row r="7633">
      <c r="Y7633" s="6" t="s">
        <v>954</v>
      </c>
    </row>
    <row r="7634">
      <c r="Y7634" s="6" t="s">
        <v>954</v>
      </c>
    </row>
    <row r="7635">
      <c r="Y7635" s="6" t="s">
        <v>954</v>
      </c>
    </row>
    <row r="7636">
      <c r="Y7636" s="6" t="s">
        <v>954</v>
      </c>
    </row>
    <row r="7637">
      <c r="Y7637" s="6" t="s">
        <v>954</v>
      </c>
    </row>
    <row r="7638">
      <c r="Y7638" s="6" t="s">
        <v>954</v>
      </c>
    </row>
    <row r="7639">
      <c r="Y7639" s="6" t="s">
        <v>954</v>
      </c>
    </row>
    <row r="7640">
      <c r="Y7640" s="6" t="s">
        <v>954</v>
      </c>
    </row>
    <row r="7641">
      <c r="Y7641" s="6" t="s">
        <v>954</v>
      </c>
    </row>
    <row r="7642">
      <c r="Y7642" s="6" t="s">
        <v>954</v>
      </c>
    </row>
    <row r="7643">
      <c r="Y7643" s="6" t="s">
        <v>954</v>
      </c>
    </row>
    <row r="7644">
      <c r="Y7644" s="6" t="s">
        <v>954</v>
      </c>
    </row>
    <row r="7645">
      <c r="Y7645" s="6" t="s">
        <v>954</v>
      </c>
    </row>
    <row r="7646">
      <c r="Y7646" s="6" t="s">
        <v>954</v>
      </c>
    </row>
    <row r="7647">
      <c r="Y7647" s="6" t="s">
        <v>954</v>
      </c>
    </row>
    <row r="7648">
      <c r="Y7648" s="6" t="s">
        <v>954</v>
      </c>
    </row>
    <row r="7649">
      <c r="Y7649" s="6" t="s">
        <v>954</v>
      </c>
    </row>
    <row r="7650">
      <c r="Y7650" s="6" t="s">
        <v>954</v>
      </c>
    </row>
    <row r="7651">
      <c r="Y7651" s="6" t="s">
        <v>954</v>
      </c>
    </row>
    <row r="7652">
      <c r="Y7652" s="6" t="s">
        <v>954</v>
      </c>
    </row>
    <row r="7653">
      <c r="Y7653" s="6" t="s">
        <v>954</v>
      </c>
    </row>
    <row r="7654">
      <c r="Y7654" s="6" t="s">
        <v>954</v>
      </c>
    </row>
    <row r="7655">
      <c r="Y7655" s="6" t="s">
        <v>954</v>
      </c>
    </row>
    <row r="7656">
      <c r="Y7656" s="6" t="s">
        <v>954</v>
      </c>
    </row>
    <row r="7657">
      <c r="Y7657" s="6" t="s">
        <v>954</v>
      </c>
    </row>
    <row r="7658">
      <c r="Y7658" s="6" t="s">
        <v>954</v>
      </c>
    </row>
    <row r="7659">
      <c r="Y7659" s="6" t="s">
        <v>954</v>
      </c>
    </row>
    <row r="7660">
      <c r="Y7660" s="6" t="s">
        <v>954</v>
      </c>
    </row>
    <row r="7661">
      <c r="Y7661" s="6" t="s">
        <v>954</v>
      </c>
    </row>
    <row r="7662">
      <c r="Y7662" s="6" t="s">
        <v>954</v>
      </c>
    </row>
    <row r="7663">
      <c r="Y7663" s="6" t="s">
        <v>954</v>
      </c>
    </row>
    <row r="7664">
      <c r="Y7664" s="6" t="s">
        <v>954</v>
      </c>
    </row>
    <row r="7665">
      <c r="Y7665" s="6" t="s">
        <v>954</v>
      </c>
    </row>
    <row r="7666">
      <c r="Y7666" s="6" t="s">
        <v>954</v>
      </c>
    </row>
    <row r="7667">
      <c r="Y7667" s="6" t="s">
        <v>954</v>
      </c>
    </row>
    <row r="7668">
      <c r="Y7668" s="6" t="s">
        <v>954</v>
      </c>
    </row>
    <row r="7669">
      <c r="Y7669" s="6" t="s">
        <v>954</v>
      </c>
    </row>
    <row r="7670">
      <c r="Y7670" s="6" t="s">
        <v>954</v>
      </c>
    </row>
    <row r="7671">
      <c r="Y7671" s="6" t="s">
        <v>954</v>
      </c>
    </row>
    <row r="7672">
      <c r="Y7672" s="6" t="s">
        <v>954</v>
      </c>
    </row>
    <row r="7673">
      <c r="Y7673" s="6" t="s">
        <v>954</v>
      </c>
    </row>
    <row r="7674">
      <c r="Y7674" s="6" t="s">
        <v>954</v>
      </c>
    </row>
    <row r="7675">
      <c r="Y7675" s="6" t="s">
        <v>954</v>
      </c>
    </row>
    <row r="7676">
      <c r="Y7676" s="6" t="s">
        <v>954</v>
      </c>
    </row>
    <row r="7677">
      <c r="Y7677" s="6" t="s">
        <v>954</v>
      </c>
    </row>
    <row r="7678">
      <c r="Y7678" s="6" t="s">
        <v>954</v>
      </c>
    </row>
    <row r="7679">
      <c r="Y7679" s="6" t="s">
        <v>954</v>
      </c>
    </row>
    <row r="7680">
      <c r="Y7680" s="6" t="s">
        <v>954</v>
      </c>
    </row>
    <row r="7681">
      <c r="Y7681" s="6" t="s">
        <v>954</v>
      </c>
    </row>
    <row r="7682">
      <c r="Y7682" s="6" t="s">
        <v>954</v>
      </c>
    </row>
    <row r="7683">
      <c r="Y7683" s="6" t="s">
        <v>954</v>
      </c>
    </row>
    <row r="7684">
      <c r="Y7684" s="6" t="s">
        <v>954</v>
      </c>
    </row>
    <row r="7685">
      <c r="Y7685" s="6" t="s">
        <v>954</v>
      </c>
    </row>
    <row r="7686">
      <c r="Y7686" s="6" t="s">
        <v>954</v>
      </c>
    </row>
    <row r="7687">
      <c r="Y7687" s="6" t="s">
        <v>954</v>
      </c>
    </row>
    <row r="7688">
      <c r="Y7688" s="6" t="s">
        <v>954</v>
      </c>
    </row>
    <row r="7689">
      <c r="Y7689" s="6" t="s">
        <v>954</v>
      </c>
    </row>
    <row r="7690">
      <c r="Y7690" s="6" t="s">
        <v>954</v>
      </c>
    </row>
    <row r="7691">
      <c r="Y7691" s="6" t="s">
        <v>954</v>
      </c>
    </row>
    <row r="7692">
      <c r="Y7692" s="6" t="s">
        <v>954</v>
      </c>
    </row>
    <row r="7693">
      <c r="Y7693" s="6" t="s">
        <v>954</v>
      </c>
    </row>
    <row r="7694">
      <c r="Y7694" s="6" t="s">
        <v>954</v>
      </c>
    </row>
    <row r="7695">
      <c r="Y7695" s="6" t="s">
        <v>954</v>
      </c>
    </row>
    <row r="7696">
      <c r="Y7696" s="6" t="s">
        <v>954</v>
      </c>
    </row>
    <row r="7697">
      <c r="Y7697" s="6" t="s">
        <v>954</v>
      </c>
    </row>
    <row r="7698">
      <c r="Y7698" s="6" t="s">
        <v>954</v>
      </c>
    </row>
    <row r="7699">
      <c r="Y7699" s="6" t="s">
        <v>954</v>
      </c>
    </row>
    <row r="7700">
      <c r="Y7700" s="6" t="s">
        <v>954</v>
      </c>
    </row>
    <row r="7701">
      <c r="Y7701" s="6" t="s">
        <v>954</v>
      </c>
    </row>
    <row r="7702">
      <c r="Y7702" s="6" t="s">
        <v>954</v>
      </c>
    </row>
    <row r="7703">
      <c r="Y7703" s="6" t="s">
        <v>954</v>
      </c>
    </row>
    <row r="7704">
      <c r="Y7704" s="6" t="s">
        <v>954</v>
      </c>
    </row>
    <row r="7705">
      <c r="Y7705" s="6" t="s">
        <v>954</v>
      </c>
    </row>
    <row r="7706">
      <c r="Y7706" s="6" t="s">
        <v>954</v>
      </c>
    </row>
    <row r="7707">
      <c r="Y7707" s="6" t="s">
        <v>954</v>
      </c>
    </row>
    <row r="7708">
      <c r="Y7708" s="6" t="s">
        <v>954</v>
      </c>
    </row>
    <row r="7709">
      <c r="Y7709" s="6" t="s">
        <v>954</v>
      </c>
    </row>
    <row r="7710">
      <c r="Y7710" s="6" t="s">
        <v>954</v>
      </c>
    </row>
    <row r="7711">
      <c r="Y7711" s="6" t="s">
        <v>954</v>
      </c>
    </row>
    <row r="7712">
      <c r="Y7712" s="6" t="s">
        <v>954</v>
      </c>
    </row>
    <row r="7713">
      <c r="Y7713" s="6" t="s">
        <v>954</v>
      </c>
    </row>
    <row r="7714">
      <c r="Y7714" s="6" t="s">
        <v>954</v>
      </c>
    </row>
    <row r="7715">
      <c r="Y7715" s="6" t="s">
        <v>954</v>
      </c>
    </row>
    <row r="7716">
      <c r="Y7716" s="6" t="s">
        <v>954</v>
      </c>
    </row>
    <row r="7717">
      <c r="Y7717" s="6" t="s">
        <v>954</v>
      </c>
    </row>
    <row r="7718">
      <c r="Y7718" s="6" t="s">
        <v>954</v>
      </c>
    </row>
    <row r="7719">
      <c r="Y7719" s="6" t="s">
        <v>954</v>
      </c>
    </row>
    <row r="7720">
      <c r="Y7720" s="6" t="s">
        <v>954</v>
      </c>
    </row>
    <row r="7721">
      <c r="Y7721" s="6" t="s">
        <v>954</v>
      </c>
    </row>
    <row r="7722">
      <c r="Y7722" s="6" t="s">
        <v>954</v>
      </c>
    </row>
    <row r="7723">
      <c r="Y7723" s="6" t="s">
        <v>954</v>
      </c>
    </row>
    <row r="7724">
      <c r="Y7724" s="6" t="s">
        <v>954</v>
      </c>
    </row>
    <row r="7725">
      <c r="Y7725" s="6" t="s">
        <v>954</v>
      </c>
    </row>
    <row r="7726">
      <c r="Y7726" s="6" t="s">
        <v>954</v>
      </c>
    </row>
    <row r="7727">
      <c r="Y7727" s="6" t="s">
        <v>954</v>
      </c>
    </row>
    <row r="7728">
      <c r="Y7728" s="6" t="s">
        <v>954</v>
      </c>
    </row>
    <row r="7729">
      <c r="Y7729" s="6" t="s">
        <v>954</v>
      </c>
    </row>
    <row r="7730">
      <c r="Y7730" s="6" t="s">
        <v>954</v>
      </c>
    </row>
    <row r="7731">
      <c r="Y7731" s="6" t="s">
        <v>954</v>
      </c>
    </row>
    <row r="7732">
      <c r="Y7732" s="6" t="s">
        <v>954</v>
      </c>
    </row>
    <row r="7733">
      <c r="Y7733" s="6" t="s">
        <v>954</v>
      </c>
    </row>
    <row r="7734">
      <c r="Y7734" s="6" t="s">
        <v>954</v>
      </c>
    </row>
    <row r="7735">
      <c r="Y7735" s="6" t="s">
        <v>954</v>
      </c>
    </row>
    <row r="7736">
      <c r="Y7736" s="6" t="s">
        <v>954</v>
      </c>
    </row>
    <row r="7737">
      <c r="Y7737" s="6" t="s">
        <v>954</v>
      </c>
    </row>
    <row r="7738">
      <c r="Y7738" s="6" t="s">
        <v>954</v>
      </c>
    </row>
    <row r="7739">
      <c r="Y7739" s="6" t="s">
        <v>954</v>
      </c>
    </row>
    <row r="7740">
      <c r="Y7740" s="6" t="s">
        <v>954</v>
      </c>
    </row>
    <row r="7741">
      <c r="Y7741" s="6" t="s">
        <v>954</v>
      </c>
    </row>
    <row r="7742">
      <c r="Y7742" s="6" t="s">
        <v>954</v>
      </c>
    </row>
    <row r="7743">
      <c r="Y7743" s="6" t="s">
        <v>954</v>
      </c>
    </row>
    <row r="7744">
      <c r="Y7744" s="6" t="s">
        <v>954</v>
      </c>
    </row>
    <row r="7745">
      <c r="Y7745" s="6" t="s">
        <v>954</v>
      </c>
    </row>
    <row r="7746">
      <c r="Y7746" s="6" t="s">
        <v>954</v>
      </c>
    </row>
    <row r="7747">
      <c r="Y7747" s="6" t="s">
        <v>954</v>
      </c>
    </row>
    <row r="7748">
      <c r="Y7748" s="6" t="s">
        <v>954</v>
      </c>
    </row>
    <row r="7749">
      <c r="Y7749" s="6" t="s">
        <v>954</v>
      </c>
    </row>
    <row r="7750">
      <c r="Y7750" s="6" t="s">
        <v>954</v>
      </c>
    </row>
    <row r="7751">
      <c r="Y7751" s="6" t="s">
        <v>954</v>
      </c>
    </row>
    <row r="7752">
      <c r="Y7752" s="6" t="s">
        <v>954</v>
      </c>
    </row>
    <row r="7753">
      <c r="Y7753" s="6" t="s">
        <v>954</v>
      </c>
    </row>
    <row r="7754">
      <c r="Y7754" s="6" t="s">
        <v>954</v>
      </c>
    </row>
    <row r="7755">
      <c r="Y7755" s="6" t="s">
        <v>954</v>
      </c>
    </row>
    <row r="7756">
      <c r="Y7756" s="6" t="s">
        <v>954</v>
      </c>
    </row>
    <row r="7757">
      <c r="Y7757" s="6" t="s">
        <v>954</v>
      </c>
    </row>
    <row r="7758">
      <c r="Y7758" s="6" t="s">
        <v>954</v>
      </c>
    </row>
    <row r="7759">
      <c r="Y7759" s="6" t="s">
        <v>954</v>
      </c>
    </row>
    <row r="7760">
      <c r="Y7760" s="6" t="s">
        <v>954</v>
      </c>
    </row>
    <row r="7761">
      <c r="Y7761" s="6" t="s">
        <v>954</v>
      </c>
    </row>
    <row r="7762">
      <c r="Y7762" s="6" t="s">
        <v>954</v>
      </c>
    </row>
    <row r="7763">
      <c r="Y7763" s="6" t="s">
        <v>954</v>
      </c>
    </row>
    <row r="7764">
      <c r="Y7764" s="6" t="s">
        <v>954</v>
      </c>
    </row>
    <row r="7765">
      <c r="Y7765" s="6" t="s">
        <v>954</v>
      </c>
    </row>
    <row r="7766">
      <c r="Y7766" s="6" t="s">
        <v>954</v>
      </c>
    </row>
    <row r="7767">
      <c r="Y7767" s="6" t="s">
        <v>954</v>
      </c>
    </row>
    <row r="7768">
      <c r="Y7768" s="6" t="s">
        <v>954</v>
      </c>
    </row>
    <row r="7769">
      <c r="Y7769" s="6" t="s">
        <v>954</v>
      </c>
    </row>
    <row r="7770">
      <c r="Y7770" s="6" t="s">
        <v>954</v>
      </c>
    </row>
    <row r="7771">
      <c r="Y7771" s="6" t="s">
        <v>954</v>
      </c>
    </row>
    <row r="7772">
      <c r="Y7772" s="6" t="s">
        <v>954</v>
      </c>
    </row>
    <row r="7773">
      <c r="Y7773" s="6" t="s">
        <v>954</v>
      </c>
    </row>
    <row r="7774">
      <c r="Y7774" s="6" t="s">
        <v>954</v>
      </c>
    </row>
    <row r="7775">
      <c r="Y7775" s="6" t="s">
        <v>954</v>
      </c>
    </row>
    <row r="7776">
      <c r="Y7776" s="6" t="s">
        <v>954</v>
      </c>
    </row>
    <row r="7777">
      <c r="Y7777" s="6" t="s">
        <v>954</v>
      </c>
    </row>
    <row r="7778">
      <c r="Y7778" s="6" t="s">
        <v>954</v>
      </c>
    </row>
    <row r="7779">
      <c r="Y7779" s="6" t="s">
        <v>954</v>
      </c>
    </row>
    <row r="7780">
      <c r="Y7780" s="6" t="s">
        <v>954</v>
      </c>
    </row>
    <row r="7781">
      <c r="Y7781" s="6" t="s">
        <v>954</v>
      </c>
    </row>
    <row r="7782">
      <c r="Y7782" s="6" t="s">
        <v>954</v>
      </c>
    </row>
    <row r="7783">
      <c r="Y7783" s="6" t="s">
        <v>954</v>
      </c>
    </row>
    <row r="7784">
      <c r="Y7784" s="6" t="s">
        <v>954</v>
      </c>
    </row>
    <row r="7785">
      <c r="Y7785" s="6" t="s">
        <v>954</v>
      </c>
    </row>
    <row r="7786">
      <c r="Y7786" s="6" t="s">
        <v>954</v>
      </c>
    </row>
    <row r="7787">
      <c r="Y7787" s="6" t="s">
        <v>954</v>
      </c>
    </row>
    <row r="7788">
      <c r="Y7788" s="6" t="s">
        <v>954</v>
      </c>
    </row>
    <row r="7789">
      <c r="Y7789" s="6" t="s">
        <v>954</v>
      </c>
    </row>
    <row r="7790">
      <c r="Y7790" s="6" t="s">
        <v>954</v>
      </c>
    </row>
    <row r="7791">
      <c r="Y7791" s="6" t="s">
        <v>954</v>
      </c>
    </row>
    <row r="7792">
      <c r="Y7792" s="6" t="s">
        <v>954</v>
      </c>
    </row>
    <row r="7793">
      <c r="Y7793" s="6" t="s">
        <v>954</v>
      </c>
    </row>
    <row r="7794">
      <c r="Y7794" s="6" t="s">
        <v>954</v>
      </c>
    </row>
    <row r="7795">
      <c r="Y7795" s="6" t="s">
        <v>954</v>
      </c>
    </row>
    <row r="7796">
      <c r="Y7796" s="6" t="s">
        <v>954</v>
      </c>
    </row>
    <row r="7797">
      <c r="Y7797" s="6" t="s">
        <v>954</v>
      </c>
    </row>
    <row r="7798">
      <c r="Y7798" s="6" t="s">
        <v>954</v>
      </c>
    </row>
    <row r="7799">
      <c r="Y7799" s="6" t="s">
        <v>954</v>
      </c>
    </row>
    <row r="7800">
      <c r="Y7800" s="6" t="s">
        <v>954</v>
      </c>
    </row>
    <row r="7801">
      <c r="Y7801" s="6" t="s">
        <v>954</v>
      </c>
    </row>
    <row r="7802">
      <c r="Y7802" s="6" t="s">
        <v>954</v>
      </c>
    </row>
    <row r="7803">
      <c r="Y7803" s="6" t="s">
        <v>954</v>
      </c>
    </row>
    <row r="7804">
      <c r="Y7804" s="6" t="s">
        <v>954</v>
      </c>
    </row>
    <row r="7805">
      <c r="Y7805" s="6" t="s">
        <v>954</v>
      </c>
    </row>
    <row r="7806">
      <c r="Y7806" s="6" t="s">
        <v>954</v>
      </c>
    </row>
    <row r="7807">
      <c r="Y7807" s="6" t="s">
        <v>954</v>
      </c>
    </row>
    <row r="7808">
      <c r="Y7808" s="6" t="s">
        <v>954</v>
      </c>
    </row>
    <row r="7809">
      <c r="Y7809" s="6" t="s">
        <v>954</v>
      </c>
    </row>
    <row r="7810">
      <c r="Y7810" s="6" t="s">
        <v>954</v>
      </c>
    </row>
    <row r="7811">
      <c r="Y7811" s="6" t="s">
        <v>954</v>
      </c>
    </row>
    <row r="7812">
      <c r="Y7812" s="6" t="s">
        <v>954</v>
      </c>
    </row>
    <row r="7813">
      <c r="Y7813" s="6" t="s">
        <v>954</v>
      </c>
    </row>
    <row r="7814">
      <c r="Y7814" s="6" t="s">
        <v>954</v>
      </c>
    </row>
    <row r="7815">
      <c r="Y7815" s="6" t="s">
        <v>954</v>
      </c>
    </row>
    <row r="7816">
      <c r="Y7816" s="6" t="s">
        <v>954</v>
      </c>
    </row>
    <row r="7817">
      <c r="Y7817" s="6" t="s">
        <v>954</v>
      </c>
    </row>
    <row r="7818">
      <c r="Y7818" s="6" t="s">
        <v>954</v>
      </c>
    </row>
    <row r="7819">
      <c r="Y7819" s="6" t="s">
        <v>954</v>
      </c>
    </row>
    <row r="7820">
      <c r="Y7820" s="6" t="s">
        <v>954</v>
      </c>
    </row>
    <row r="7821">
      <c r="Y7821" s="6" t="s">
        <v>954</v>
      </c>
    </row>
    <row r="7822">
      <c r="Y7822" s="6" t="s">
        <v>954</v>
      </c>
    </row>
    <row r="7823">
      <c r="Y7823" s="6" t="s">
        <v>954</v>
      </c>
    </row>
    <row r="7824">
      <c r="Y7824" s="6" t="s">
        <v>954</v>
      </c>
    </row>
    <row r="7825">
      <c r="Y7825" s="6" t="s">
        <v>954</v>
      </c>
    </row>
    <row r="7826">
      <c r="Y7826" s="6" t="s">
        <v>954</v>
      </c>
    </row>
    <row r="7827">
      <c r="Y7827" s="6" t="s">
        <v>954</v>
      </c>
    </row>
    <row r="7828">
      <c r="Y7828" s="6" t="s">
        <v>954</v>
      </c>
    </row>
    <row r="7829">
      <c r="Y7829" s="6" t="s">
        <v>954</v>
      </c>
    </row>
    <row r="7830">
      <c r="Y7830" s="6" t="s">
        <v>954</v>
      </c>
    </row>
    <row r="7831">
      <c r="Y7831" s="6" t="s">
        <v>954</v>
      </c>
    </row>
    <row r="7832">
      <c r="Y7832" s="6" t="s">
        <v>954</v>
      </c>
    </row>
    <row r="7833">
      <c r="Y7833" s="6" t="s">
        <v>954</v>
      </c>
    </row>
    <row r="7834">
      <c r="Y7834" s="6" t="s">
        <v>954</v>
      </c>
    </row>
    <row r="7835">
      <c r="Y7835" s="6" t="s">
        <v>954</v>
      </c>
    </row>
    <row r="7836">
      <c r="Y7836" s="6" t="s">
        <v>954</v>
      </c>
    </row>
    <row r="7837">
      <c r="Y7837" s="6" t="s">
        <v>954</v>
      </c>
    </row>
    <row r="7838">
      <c r="Y7838" s="6" t="s">
        <v>954</v>
      </c>
    </row>
    <row r="7839">
      <c r="Y7839" s="6" t="s">
        <v>954</v>
      </c>
    </row>
    <row r="7840">
      <c r="Y7840" s="6" t="s">
        <v>954</v>
      </c>
    </row>
    <row r="7841">
      <c r="Y7841" s="6" t="s">
        <v>954</v>
      </c>
    </row>
    <row r="7842">
      <c r="Y7842" s="6" t="s">
        <v>954</v>
      </c>
    </row>
    <row r="7843">
      <c r="Y7843" s="6" t="s">
        <v>954</v>
      </c>
    </row>
    <row r="7844">
      <c r="Y7844" s="6" t="s">
        <v>954</v>
      </c>
    </row>
    <row r="7845">
      <c r="Y7845" s="6" t="s">
        <v>954</v>
      </c>
    </row>
    <row r="7846">
      <c r="Y7846" s="6" t="s">
        <v>954</v>
      </c>
    </row>
    <row r="7847">
      <c r="Y7847" s="6" t="s">
        <v>954</v>
      </c>
    </row>
    <row r="7848">
      <c r="Y7848" s="6" t="s">
        <v>954</v>
      </c>
    </row>
    <row r="7849">
      <c r="Y7849" s="6" t="s">
        <v>954</v>
      </c>
    </row>
    <row r="7850">
      <c r="Y7850" s="6" t="s">
        <v>954</v>
      </c>
    </row>
    <row r="7851">
      <c r="Y7851" s="6" t="s">
        <v>954</v>
      </c>
    </row>
    <row r="7852">
      <c r="Y7852" s="6" t="s">
        <v>954</v>
      </c>
    </row>
    <row r="7853">
      <c r="Y7853" s="6" t="s">
        <v>954</v>
      </c>
    </row>
    <row r="7854">
      <c r="Y7854" s="6" t="s">
        <v>954</v>
      </c>
    </row>
    <row r="7855">
      <c r="Y7855" s="6" t="s">
        <v>954</v>
      </c>
    </row>
    <row r="7856">
      <c r="Y7856" s="6" t="s">
        <v>954</v>
      </c>
    </row>
    <row r="7857">
      <c r="Y7857" s="6" t="s">
        <v>954</v>
      </c>
    </row>
    <row r="7858">
      <c r="Y7858" s="6" t="s">
        <v>954</v>
      </c>
    </row>
    <row r="7859">
      <c r="Y7859" s="6" t="s">
        <v>954</v>
      </c>
    </row>
    <row r="7860">
      <c r="Y7860" s="6" t="s">
        <v>954</v>
      </c>
    </row>
    <row r="7861">
      <c r="Y7861" s="6" t="s">
        <v>954</v>
      </c>
    </row>
    <row r="7862">
      <c r="Y7862" s="6" t="s">
        <v>954</v>
      </c>
    </row>
    <row r="7863">
      <c r="Y7863" s="6" t="s">
        <v>954</v>
      </c>
    </row>
    <row r="7864">
      <c r="Y7864" s="6" t="s">
        <v>954</v>
      </c>
    </row>
    <row r="7865">
      <c r="Y7865" s="6" t="s">
        <v>954</v>
      </c>
    </row>
    <row r="7866">
      <c r="Y7866" s="6" t="s">
        <v>954</v>
      </c>
    </row>
    <row r="7867">
      <c r="Y7867" s="6" t="s">
        <v>954</v>
      </c>
    </row>
    <row r="7868">
      <c r="Y7868" s="6" t="s">
        <v>954</v>
      </c>
    </row>
    <row r="7869">
      <c r="Y7869" s="6" t="s">
        <v>954</v>
      </c>
    </row>
    <row r="7870">
      <c r="Y7870" s="6" t="s">
        <v>954</v>
      </c>
    </row>
    <row r="7871">
      <c r="Y7871" s="6" t="s">
        <v>954</v>
      </c>
    </row>
    <row r="7872">
      <c r="Y7872" s="6" t="s">
        <v>954</v>
      </c>
    </row>
    <row r="7873">
      <c r="Y7873" s="6" t="s">
        <v>954</v>
      </c>
    </row>
    <row r="7874">
      <c r="Y7874" s="6" t="s">
        <v>954</v>
      </c>
    </row>
    <row r="7875">
      <c r="Y7875" s="6" t="s">
        <v>954</v>
      </c>
    </row>
    <row r="7876">
      <c r="Y7876" s="6" t="s">
        <v>954</v>
      </c>
    </row>
    <row r="7877">
      <c r="Y7877" s="6" t="s">
        <v>954</v>
      </c>
    </row>
    <row r="7878">
      <c r="Y7878" s="6" t="s">
        <v>954</v>
      </c>
    </row>
    <row r="7879">
      <c r="Y7879" s="6" t="s">
        <v>954</v>
      </c>
    </row>
    <row r="7880">
      <c r="Y7880" s="6" t="s">
        <v>954</v>
      </c>
    </row>
    <row r="7881">
      <c r="Y7881" s="6" t="s">
        <v>954</v>
      </c>
    </row>
    <row r="7882">
      <c r="Y7882" s="6" t="s">
        <v>954</v>
      </c>
    </row>
    <row r="7883">
      <c r="Y7883" s="6" t="s">
        <v>954</v>
      </c>
    </row>
    <row r="7884">
      <c r="Y7884" s="6" t="s">
        <v>954</v>
      </c>
    </row>
    <row r="7885">
      <c r="Y7885" s="6" t="s">
        <v>954</v>
      </c>
    </row>
    <row r="7886">
      <c r="Y7886" s="6" t="s">
        <v>954</v>
      </c>
    </row>
    <row r="7887">
      <c r="Y7887" s="6" t="s">
        <v>954</v>
      </c>
    </row>
    <row r="7888">
      <c r="Y7888" s="6" t="s">
        <v>954</v>
      </c>
    </row>
    <row r="7889">
      <c r="Y7889" s="6" t="s">
        <v>954</v>
      </c>
    </row>
    <row r="7890">
      <c r="Y7890" s="6" t="s">
        <v>954</v>
      </c>
    </row>
    <row r="7891">
      <c r="Y7891" s="6" t="s">
        <v>954</v>
      </c>
    </row>
    <row r="7892">
      <c r="Y7892" s="6" t="s">
        <v>954</v>
      </c>
    </row>
    <row r="7893">
      <c r="Y7893" s="6" t="s">
        <v>954</v>
      </c>
    </row>
    <row r="7894">
      <c r="Y7894" s="6" t="s">
        <v>954</v>
      </c>
    </row>
    <row r="7895">
      <c r="Y7895" s="6" t="s">
        <v>954</v>
      </c>
    </row>
    <row r="7896">
      <c r="Y7896" s="6" t="s">
        <v>954</v>
      </c>
    </row>
    <row r="7897">
      <c r="Y7897" s="6" t="s">
        <v>954</v>
      </c>
    </row>
    <row r="7898">
      <c r="Y7898" s="6" t="s">
        <v>954</v>
      </c>
    </row>
    <row r="7899">
      <c r="Y7899" s="6" t="s">
        <v>954</v>
      </c>
    </row>
    <row r="7900">
      <c r="Y7900" s="6" t="s">
        <v>954</v>
      </c>
    </row>
    <row r="7901">
      <c r="Y7901" s="6" t="s">
        <v>954</v>
      </c>
    </row>
    <row r="7902">
      <c r="Y7902" s="6" t="s">
        <v>954</v>
      </c>
    </row>
    <row r="7903">
      <c r="Y7903" s="6" t="s">
        <v>954</v>
      </c>
    </row>
    <row r="7904">
      <c r="Y7904" s="6" t="s">
        <v>954</v>
      </c>
    </row>
    <row r="7905">
      <c r="Y7905" s="6" t="s">
        <v>954</v>
      </c>
    </row>
    <row r="7906">
      <c r="Y7906" s="6" t="s">
        <v>954</v>
      </c>
    </row>
    <row r="7907">
      <c r="Y7907" s="6" t="s">
        <v>954</v>
      </c>
    </row>
    <row r="7908">
      <c r="Y7908" s="6" t="s">
        <v>954</v>
      </c>
    </row>
    <row r="7909">
      <c r="Y7909" s="6" t="s">
        <v>954</v>
      </c>
    </row>
    <row r="7910">
      <c r="Y7910" s="6" t="s">
        <v>954</v>
      </c>
    </row>
    <row r="7911">
      <c r="Y7911" s="6" t="s">
        <v>954</v>
      </c>
    </row>
    <row r="7912">
      <c r="Y7912" s="6" t="s">
        <v>954</v>
      </c>
    </row>
    <row r="7913">
      <c r="Y7913" s="6" t="s">
        <v>954</v>
      </c>
    </row>
    <row r="7914">
      <c r="Y7914" s="6" t="s">
        <v>954</v>
      </c>
    </row>
    <row r="7915">
      <c r="Y7915" s="6" t="s">
        <v>954</v>
      </c>
    </row>
    <row r="7916">
      <c r="Y7916" s="6" t="s">
        <v>954</v>
      </c>
    </row>
    <row r="7917">
      <c r="Y7917" s="6" t="s">
        <v>954</v>
      </c>
    </row>
    <row r="7918">
      <c r="Y7918" s="6" t="s">
        <v>954</v>
      </c>
    </row>
    <row r="7919">
      <c r="Y7919" s="6" t="s">
        <v>954</v>
      </c>
    </row>
    <row r="7920">
      <c r="Y7920" s="6" t="s">
        <v>954</v>
      </c>
    </row>
    <row r="7921">
      <c r="Y7921" s="6" t="s">
        <v>954</v>
      </c>
    </row>
    <row r="7922">
      <c r="Y7922" s="6" t="s">
        <v>954</v>
      </c>
    </row>
    <row r="7923">
      <c r="Y7923" s="6" t="s">
        <v>954</v>
      </c>
    </row>
    <row r="7924">
      <c r="Y7924" s="6" t="s">
        <v>954</v>
      </c>
    </row>
    <row r="7925">
      <c r="Y7925" s="6" t="s">
        <v>954</v>
      </c>
    </row>
    <row r="7926">
      <c r="Y7926" s="6" t="s">
        <v>954</v>
      </c>
    </row>
    <row r="7927">
      <c r="Y7927" s="6" t="s">
        <v>954</v>
      </c>
    </row>
    <row r="7928">
      <c r="Y7928" s="6" t="s">
        <v>954</v>
      </c>
    </row>
    <row r="7929">
      <c r="Y7929" s="6" t="s">
        <v>954</v>
      </c>
    </row>
    <row r="7930">
      <c r="Y7930" s="6" t="s">
        <v>954</v>
      </c>
    </row>
    <row r="7931">
      <c r="Y7931" s="6" t="s">
        <v>954</v>
      </c>
    </row>
    <row r="7932">
      <c r="Y7932" s="6" t="s">
        <v>954</v>
      </c>
    </row>
    <row r="7933">
      <c r="Y7933" s="6" t="s">
        <v>954</v>
      </c>
    </row>
    <row r="7934">
      <c r="Y7934" s="6" t="s">
        <v>954</v>
      </c>
    </row>
    <row r="7935">
      <c r="Y7935" s="6" t="s">
        <v>954</v>
      </c>
    </row>
    <row r="7936">
      <c r="Y7936" s="6" t="s">
        <v>954</v>
      </c>
    </row>
    <row r="7937">
      <c r="Y7937" s="6" t="s">
        <v>954</v>
      </c>
    </row>
    <row r="7938">
      <c r="Y7938" s="6" t="s">
        <v>954</v>
      </c>
    </row>
    <row r="7939">
      <c r="Y7939" s="6" t="s">
        <v>954</v>
      </c>
    </row>
    <row r="7940">
      <c r="Y7940" s="6" t="s">
        <v>954</v>
      </c>
    </row>
    <row r="7941">
      <c r="Y7941" s="6" t="s">
        <v>954</v>
      </c>
    </row>
    <row r="7942">
      <c r="Y7942" s="6" t="s">
        <v>954</v>
      </c>
    </row>
    <row r="7943">
      <c r="Y7943" s="6" t="s">
        <v>954</v>
      </c>
    </row>
    <row r="7944">
      <c r="Y7944" s="6" t="s">
        <v>954</v>
      </c>
    </row>
    <row r="7945">
      <c r="Y7945" s="6" t="s">
        <v>954</v>
      </c>
    </row>
    <row r="7946">
      <c r="Y7946" s="6" t="s">
        <v>954</v>
      </c>
    </row>
    <row r="7947">
      <c r="Y7947" s="6" t="s">
        <v>954</v>
      </c>
    </row>
    <row r="7948">
      <c r="Y7948" s="6" t="s">
        <v>954</v>
      </c>
    </row>
    <row r="7949">
      <c r="Y7949" s="6" t="s">
        <v>954</v>
      </c>
    </row>
    <row r="7950">
      <c r="Y7950" s="6" t="s">
        <v>954</v>
      </c>
    </row>
    <row r="7951">
      <c r="Y7951" s="6" t="s">
        <v>954</v>
      </c>
    </row>
    <row r="7952">
      <c r="Y7952" s="6" t="s">
        <v>954</v>
      </c>
    </row>
    <row r="7953">
      <c r="Y7953" s="6" t="s">
        <v>954</v>
      </c>
    </row>
    <row r="7954">
      <c r="Y7954" s="6" t="s">
        <v>954</v>
      </c>
    </row>
    <row r="7955">
      <c r="Y7955" s="6" t="s">
        <v>954</v>
      </c>
    </row>
    <row r="7956">
      <c r="Y7956" s="6" t="s">
        <v>954</v>
      </c>
    </row>
    <row r="7957">
      <c r="Y7957" s="6" t="s">
        <v>954</v>
      </c>
    </row>
    <row r="7958">
      <c r="Y7958" s="6" t="s">
        <v>954</v>
      </c>
    </row>
    <row r="7959">
      <c r="Y7959" s="6" t="s">
        <v>954</v>
      </c>
    </row>
    <row r="7960">
      <c r="Y7960" s="6" t="s">
        <v>954</v>
      </c>
    </row>
    <row r="7961">
      <c r="Y7961" s="6" t="s">
        <v>954</v>
      </c>
    </row>
    <row r="7962">
      <c r="Y7962" s="6" t="s">
        <v>954</v>
      </c>
    </row>
    <row r="7963">
      <c r="Y7963" s="6" t="s">
        <v>954</v>
      </c>
    </row>
    <row r="7964">
      <c r="Y7964" s="6" t="s">
        <v>954</v>
      </c>
    </row>
    <row r="7965">
      <c r="Y7965" s="6" t="s">
        <v>954</v>
      </c>
    </row>
    <row r="7966">
      <c r="Y7966" s="6" t="s">
        <v>954</v>
      </c>
    </row>
    <row r="7967">
      <c r="Y7967" s="6" t="s">
        <v>954</v>
      </c>
    </row>
    <row r="7968">
      <c r="Y7968" s="6" t="s">
        <v>954</v>
      </c>
    </row>
    <row r="7969">
      <c r="Y7969" s="6" t="s">
        <v>954</v>
      </c>
    </row>
    <row r="7970">
      <c r="Y7970" s="6" t="s">
        <v>954</v>
      </c>
    </row>
    <row r="7971">
      <c r="Y7971" s="6" t="s">
        <v>954</v>
      </c>
    </row>
    <row r="7972">
      <c r="Y7972" s="6" t="s">
        <v>954</v>
      </c>
    </row>
    <row r="7973">
      <c r="Y7973" s="6" t="s">
        <v>954</v>
      </c>
    </row>
    <row r="7974">
      <c r="Y7974" s="6" t="s">
        <v>954</v>
      </c>
    </row>
    <row r="7975">
      <c r="Y7975" s="6" t="s">
        <v>954</v>
      </c>
    </row>
    <row r="7976">
      <c r="Y7976" s="6" t="s">
        <v>954</v>
      </c>
    </row>
    <row r="7977">
      <c r="Y7977" s="6" t="s">
        <v>954</v>
      </c>
    </row>
    <row r="7978">
      <c r="Y7978" s="6" t="s">
        <v>954</v>
      </c>
    </row>
    <row r="7979">
      <c r="Y7979" s="6" t="s">
        <v>954</v>
      </c>
    </row>
    <row r="7980">
      <c r="Y7980" s="6" t="s">
        <v>954</v>
      </c>
    </row>
    <row r="7981">
      <c r="Y7981" s="6" t="s">
        <v>954</v>
      </c>
    </row>
    <row r="7982">
      <c r="Y7982" s="6" t="s">
        <v>954</v>
      </c>
    </row>
    <row r="7983">
      <c r="Y7983" s="6" t="s">
        <v>954</v>
      </c>
    </row>
    <row r="7984">
      <c r="Y7984" s="6" t="s">
        <v>954</v>
      </c>
    </row>
    <row r="7985">
      <c r="Y7985" s="6" t="s">
        <v>954</v>
      </c>
    </row>
    <row r="7986">
      <c r="Y7986" s="6" t="s">
        <v>954</v>
      </c>
    </row>
    <row r="7987">
      <c r="Y7987" s="6" t="s">
        <v>954</v>
      </c>
    </row>
    <row r="7988">
      <c r="Y7988" s="6" t="s">
        <v>954</v>
      </c>
    </row>
    <row r="7989">
      <c r="Y7989" s="6" t="s">
        <v>954</v>
      </c>
    </row>
    <row r="7990">
      <c r="Y7990" s="6" t="s">
        <v>954</v>
      </c>
    </row>
    <row r="7991">
      <c r="Y7991" s="6" t="s">
        <v>954</v>
      </c>
    </row>
    <row r="7992">
      <c r="Y7992" s="6" t="s">
        <v>954</v>
      </c>
    </row>
    <row r="7993">
      <c r="Y7993" s="6" t="s">
        <v>954</v>
      </c>
    </row>
    <row r="7994">
      <c r="Y7994" s="6" t="s">
        <v>954</v>
      </c>
    </row>
    <row r="7995">
      <c r="Y7995" s="6" t="s">
        <v>954</v>
      </c>
    </row>
    <row r="7996">
      <c r="Y7996" s="6" t="s">
        <v>954</v>
      </c>
    </row>
    <row r="7997">
      <c r="Y7997" s="6" t="s">
        <v>954</v>
      </c>
    </row>
    <row r="7998">
      <c r="Y7998" s="6" t="s">
        <v>954</v>
      </c>
    </row>
    <row r="7999">
      <c r="Y7999" s="6" t="s">
        <v>954</v>
      </c>
    </row>
    <row r="8000">
      <c r="Y8000" s="6" t="s">
        <v>954</v>
      </c>
    </row>
    <row r="8001">
      <c r="Y8001" s="6" t="s">
        <v>954</v>
      </c>
    </row>
    <row r="8002">
      <c r="Y8002" s="6" t="s">
        <v>954</v>
      </c>
    </row>
    <row r="8003">
      <c r="Y8003" s="6" t="s">
        <v>954</v>
      </c>
    </row>
    <row r="8004">
      <c r="Y8004" s="6" t="s">
        <v>954</v>
      </c>
    </row>
    <row r="8005">
      <c r="Y8005" s="6" t="s">
        <v>954</v>
      </c>
    </row>
    <row r="8006">
      <c r="Y8006" s="6" t="s">
        <v>954</v>
      </c>
    </row>
    <row r="8007">
      <c r="Y8007" s="6" t="s">
        <v>954</v>
      </c>
    </row>
    <row r="8008">
      <c r="Y8008" s="6" t="s">
        <v>954</v>
      </c>
    </row>
    <row r="8009">
      <c r="Y8009" s="6" t="s">
        <v>954</v>
      </c>
    </row>
    <row r="8010">
      <c r="Y8010" s="6" t="s">
        <v>954</v>
      </c>
    </row>
    <row r="8011">
      <c r="Y8011" s="6" t="s">
        <v>954</v>
      </c>
    </row>
    <row r="8012">
      <c r="Y8012" s="6" t="s">
        <v>954</v>
      </c>
    </row>
    <row r="8013">
      <c r="Y8013" s="6" t="s">
        <v>954</v>
      </c>
    </row>
    <row r="8014">
      <c r="Y8014" s="6" t="s">
        <v>954</v>
      </c>
    </row>
    <row r="8015">
      <c r="Y8015" s="6" t="s">
        <v>954</v>
      </c>
    </row>
    <row r="8016">
      <c r="Y8016" s="6" t="s">
        <v>954</v>
      </c>
    </row>
    <row r="8017">
      <c r="Y8017" s="6" t="s">
        <v>954</v>
      </c>
    </row>
    <row r="8018">
      <c r="Y8018" s="6" t="s">
        <v>954</v>
      </c>
    </row>
    <row r="8019">
      <c r="Y8019" s="6" t="s">
        <v>954</v>
      </c>
    </row>
    <row r="8020">
      <c r="Y8020" s="6" t="s">
        <v>954</v>
      </c>
    </row>
    <row r="8021">
      <c r="Y8021" s="6" t="s">
        <v>954</v>
      </c>
    </row>
    <row r="8022">
      <c r="Y8022" s="6" t="s">
        <v>954</v>
      </c>
    </row>
    <row r="8023">
      <c r="Y8023" s="6" t="s">
        <v>954</v>
      </c>
    </row>
    <row r="8024">
      <c r="Y8024" s="6" t="s">
        <v>954</v>
      </c>
    </row>
    <row r="8025">
      <c r="Y8025" s="6" t="s">
        <v>954</v>
      </c>
    </row>
    <row r="8026">
      <c r="Y8026" s="6" t="s">
        <v>954</v>
      </c>
    </row>
    <row r="8027">
      <c r="Y8027" s="6" t="s">
        <v>954</v>
      </c>
    </row>
    <row r="8028">
      <c r="Y8028" s="6" t="s">
        <v>954</v>
      </c>
    </row>
    <row r="8029">
      <c r="Y8029" s="6" t="s">
        <v>954</v>
      </c>
    </row>
    <row r="8030">
      <c r="Y8030" s="6" t="s">
        <v>954</v>
      </c>
    </row>
    <row r="8031">
      <c r="Y8031" s="6" t="s">
        <v>954</v>
      </c>
    </row>
    <row r="8032">
      <c r="Y8032" s="6" t="s">
        <v>954</v>
      </c>
    </row>
    <row r="8033">
      <c r="Y8033" s="6" t="s">
        <v>954</v>
      </c>
    </row>
    <row r="8034">
      <c r="Y8034" s="6" t="s">
        <v>954</v>
      </c>
    </row>
    <row r="8035">
      <c r="Y8035" s="6" t="s">
        <v>954</v>
      </c>
    </row>
    <row r="8036">
      <c r="Y8036" s="6" t="s">
        <v>954</v>
      </c>
    </row>
    <row r="8037">
      <c r="Y8037" s="6" t="s">
        <v>954</v>
      </c>
    </row>
    <row r="8038">
      <c r="Y8038" s="6" t="s">
        <v>954</v>
      </c>
    </row>
    <row r="8039">
      <c r="Y8039" s="6" t="s">
        <v>954</v>
      </c>
    </row>
    <row r="8040">
      <c r="Y8040" s="6" t="s">
        <v>954</v>
      </c>
    </row>
    <row r="8041">
      <c r="Y8041" s="6" t="s">
        <v>954</v>
      </c>
    </row>
    <row r="8042">
      <c r="Y8042" s="6" t="s">
        <v>954</v>
      </c>
    </row>
    <row r="8043">
      <c r="Y8043" s="6" t="s">
        <v>954</v>
      </c>
    </row>
    <row r="8044">
      <c r="Y8044" s="6" t="s">
        <v>954</v>
      </c>
    </row>
    <row r="8045">
      <c r="Y8045" s="6" t="s">
        <v>954</v>
      </c>
    </row>
    <row r="8046">
      <c r="Y8046" s="6" t="s">
        <v>954</v>
      </c>
    </row>
    <row r="8047">
      <c r="Y8047" s="6" t="s">
        <v>954</v>
      </c>
    </row>
    <row r="8048">
      <c r="Y8048" s="6" t="s">
        <v>954</v>
      </c>
    </row>
    <row r="8049">
      <c r="Y8049" s="6" t="s">
        <v>954</v>
      </c>
    </row>
    <row r="8050">
      <c r="Y8050" s="6" t="s">
        <v>954</v>
      </c>
    </row>
    <row r="8051">
      <c r="Y8051" s="6" t="s">
        <v>954</v>
      </c>
    </row>
    <row r="8052">
      <c r="Y8052" s="6" t="s">
        <v>954</v>
      </c>
    </row>
    <row r="8053">
      <c r="Y8053" s="6" t="s">
        <v>954</v>
      </c>
    </row>
    <row r="8054">
      <c r="Y8054" s="6" t="s">
        <v>954</v>
      </c>
    </row>
    <row r="8055">
      <c r="Y8055" s="6" t="s">
        <v>954</v>
      </c>
    </row>
    <row r="8056">
      <c r="Y8056" s="6" t="s">
        <v>954</v>
      </c>
    </row>
    <row r="8057">
      <c r="Y8057" s="6" t="s">
        <v>954</v>
      </c>
    </row>
    <row r="8058">
      <c r="Y8058" s="6" t="s">
        <v>954</v>
      </c>
    </row>
    <row r="8059">
      <c r="Y8059" s="6" t="s">
        <v>954</v>
      </c>
    </row>
    <row r="8060">
      <c r="Y8060" s="6" t="s">
        <v>954</v>
      </c>
    </row>
    <row r="8061">
      <c r="Y8061" s="6" t="s">
        <v>954</v>
      </c>
    </row>
    <row r="8062">
      <c r="Y8062" s="6" t="s">
        <v>954</v>
      </c>
    </row>
    <row r="8063">
      <c r="Y8063" s="6" t="s">
        <v>954</v>
      </c>
    </row>
    <row r="8064">
      <c r="Y8064" s="6" t="s">
        <v>954</v>
      </c>
    </row>
    <row r="8065">
      <c r="Y8065" s="6" t="s">
        <v>954</v>
      </c>
    </row>
    <row r="8066">
      <c r="Y8066" s="6" t="s">
        <v>954</v>
      </c>
    </row>
    <row r="8067">
      <c r="Y8067" s="6" t="s">
        <v>954</v>
      </c>
    </row>
    <row r="8068">
      <c r="Y8068" s="6" t="s">
        <v>954</v>
      </c>
    </row>
    <row r="8069">
      <c r="Y8069" s="6" t="s">
        <v>954</v>
      </c>
    </row>
    <row r="8070">
      <c r="Y8070" s="6" t="s">
        <v>954</v>
      </c>
    </row>
    <row r="8071">
      <c r="Y8071" s="6" t="s">
        <v>954</v>
      </c>
    </row>
    <row r="8072">
      <c r="Y8072" s="6" t="s">
        <v>954</v>
      </c>
    </row>
    <row r="8073">
      <c r="Y8073" s="6" t="s">
        <v>954</v>
      </c>
    </row>
    <row r="8074">
      <c r="Y8074" s="6" t="s">
        <v>954</v>
      </c>
    </row>
    <row r="8075">
      <c r="Y8075" s="6" t="s">
        <v>954</v>
      </c>
    </row>
    <row r="8076">
      <c r="Y8076" s="6" t="s">
        <v>954</v>
      </c>
    </row>
    <row r="8077">
      <c r="Y8077" s="6" t="s">
        <v>954</v>
      </c>
    </row>
    <row r="8078">
      <c r="Y8078" s="6" t="s">
        <v>954</v>
      </c>
    </row>
    <row r="8079">
      <c r="Y8079" s="6" t="s">
        <v>954</v>
      </c>
    </row>
    <row r="8080">
      <c r="Y8080" s="6" t="s">
        <v>954</v>
      </c>
    </row>
    <row r="8081">
      <c r="Y8081" s="6" t="s">
        <v>954</v>
      </c>
    </row>
    <row r="8082">
      <c r="Y8082" s="6" t="s">
        <v>954</v>
      </c>
    </row>
    <row r="8083">
      <c r="Y8083" s="6" t="s">
        <v>954</v>
      </c>
    </row>
    <row r="8084">
      <c r="Y8084" s="6" t="s">
        <v>954</v>
      </c>
    </row>
    <row r="8085">
      <c r="Y8085" s="6" t="s">
        <v>954</v>
      </c>
    </row>
    <row r="8086">
      <c r="Y8086" s="6" t="s">
        <v>954</v>
      </c>
    </row>
    <row r="8087">
      <c r="Y8087" s="6" t="s">
        <v>954</v>
      </c>
    </row>
    <row r="8088">
      <c r="Y8088" s="6" t="s">
        <v>954</v>
      </c>
    </row>
    <row r="8089">
      <c r="Y8089" s="6" t="s">
        <v>954</v>
      </c>
    </row>
    <row r="8090">
      <c r="Y8090" s="6" t="s">
        <v>954</v>
      </c>
    </row>
    <row r="8091">
      <c r="Y8091" s="6" t="s">
        <v>954</v>
      </c>
    </row>
    <row r="8092">
      <c r="Y8092" s="6" t="s">
        <v>954</v>
      </c>
    </row>
    <row r="8093">
      <c r="Y8093" s="6" t="s">
        <v>954</v>
      </c>
    </row>
    <row r="8094">
      <c r="Y8094" s="6" t="s">
        <v>954</v>
      </c>
    </row>
    <row r="8095">
      <c r="Y8095" s="6" t="s">
        <v>954</v>
      </c>
    </row>
    <row r="8096">
      <c r="Y8096" s="6" t="s">
        <v>954</v>
      </c>
    </row>
    <row r="8097">
      <c r="Y8097" s="6" t="s">
        <v>954</v>
      </c>
    </row>
    <row r="8098">
      <c r="Y8098" s="6" t="s">
        <v>954</v>
      </c>
    </row>
    <row r="8099">
      <c r="Y8099" s="6" t="s">
        <v>954</v>
      </c>
    </row>
    <row r="8100">
      <c r="Y8100" s="6" t="s">
        <v>954</v>
      </c>
    </row>
    <row r="8101">
      <c r="Y8101" s="6" t="s">
        <v>954</v>
      </c>
    </row>
    <row r="8102">
      <c r="Y8102" s="6" t="s">
        <v>954</v>
      </c>
    </row>
    <row r="8103">
      <c r="Y8103" s="6" t="s">
        <v>954</v>
      </c>
    </row>
    <row r="8104">
      <c r="Y8104" s="6" t="s">
        <v>954</v>
      </c>
    </row>
    <row r="8105">
      <c r="Y8105" s="6" t="s">
        <v>954</v>
      </c>
    </row>
    <row r="8106">
      <c r="Y8106" s="6" t="s">
        <v>954</v>
      </c>
    </row>
    <row r="8107">
      <c r="Y8107" s="6" t="s">
        <v>954</v>
      </c>
    </row>
    <row r="8108">
      <c r="Y8108" s="6" t="s">
        <v>954</v>
      </c>
    </row>
    <row r="8109">
      <c r="Y8109" s="6" t="s">
        <v>954</v>
      </c>
    </row>
    <row r="8110">
      <c r="Y8110" s="6" t="s">
        <v>954</v>
      </c>
    </row>
    <row r="8111">
      <c r="Y8111" s="6" t="s">
        <v>954</v>
      </c>
    </row>
    <row r="8112">
      <c r="Y8112" s="6" t="s">
        <v>954</v>
      </c>
    </row>
    <row r="8113">
      <c r="Y8113" s="6" t="s">
        <v>954</v>
      </c>
    </row>
    <row r="8114">
      <c r="Y8114" s="6" t="s">
        <v>954</v>
      </c>
    </row>
    <row r="8115">
      <c r="Y8115" s="6" t="s">
        <v>954</v>
      </c>
    </row>
    <row r="8116">
      <c r="Y8116" s="6" t="s">
        <v>954</v>
      </c>
    </row>
    <row r="8117">
      <c r="Y8117" s="6" t="s">
        <v>954</v>
      </c>
    </row>
    <row r="8118">
      <c r="Y8118" s="6" t="s">
        <v>954</v>
      </c>
    </row>
    <row r="8119">
      <c r="Y8119" s="6" t="s">
        <v>954</v>
      </c>
    </row>
    <row r="8120">
      <c r="Y8120" s="6" t="s">
        <v>954</v>
      </c>
    </row>
    <row r="8121">
      <c r="Y8121" s="6" t="s">
        <v>954</v>
      </c>
    </row>
    <row r="8122">
      <c r="Y8122" s="6" t="s">
        <v>954</v>
      </c>
    </row>
    <row r="8123">
      <c r="Y8123" s="6" t="s">
        <v>954</v>
      </c>
    </row>
    <row r="8124">
      <c r="Y8124" s="6" t="s">
        <v>954</v>
      </c>
    </row>
    <row r="8125">
      <c r="Y8125" s="6" t="s">
        <v>954</v>
      </c>
    </row>
    <row r="8126">
      <c r="Y8126" s="6" t="s">
        <v>954</v>
      </c>
    </row>
    <row r="8127">
      <c r="Y8127" s="6" t="s">
        <v>954</v>
      </c>
    </row>
    <row r="8128">
      <c r="Y8128" s="6" t="s">
        <v>954</v>
      </c>
    </row>
    <row r="8129">
      <c r="Y8129" s="6" t="s">
        <v>954</v>
      </c>
    </row>
    <row r="8130">
      <c r="Y8130" s="6" t="s">
        <v>954</v>
      </c>
    </row>
    <row r="8131">
      <c r="Y8131" s="6" t="s">
        <v>954</v>
      </c>
    </row>
    <row r="8132">
      <c r="Y8132" s="6" t="s">
        <v>954</v>
      </c>
    </row>
    <row r="8133">
      <c r="Y8133" s="6" t="s">
        <v>954</v>
      </c>
    </row>
    <row r="8134">
      <c r="Y8134" s="6" t="s">
        <v>954</v>
      </c>
    </row>
    <row r="8135">
      <c r="Y8135" s="6" t="s">
        <v>954</v>
      </c>
    </row>
    <row r="8136">
      <c r="Y8136" s="6" t="s">
        <v>954</v>
      </c>
    </row>
    <row r="8137">
      <c r="Y8137" s="6" t="s">
        <v>954</v>
      </c>
    </row>
    <row r="8138">
      <c r="Y8138" s="6" t="s">
        <v>954</v>
      </c>
    </row>
    <row r="8139">
      <c r="Y8139" s="6" t="s">
        <v>954</v>
      </c>
    </row>
    <row r="8140">
      <c r="Y8140" s="6" t="s">
        <v>954</v>
      </c>
    </row>
    <row r="8141">
      <c r="Y8141" s="6" t="s">
        <v>954</v>
      </c>
    </row>
    <row r="8142">
      <c r="Y8142" s="6" t="s">
        <v>954</v>
      </c>
    </row>
    <row r="8143">
      <c r="Y8143" s="6" t="s">
        <v>954</v>
      </c>
    </row>
    <row r="8144">
      <c r="Y8144" s="6" t="s">
        <v>954</v>
      </c>
    </row>
    <row r="8145">
      <c r="Y8145" s="6" t="s">
        <v>954</v>
      </c>
    </row>
    <row r="8146">
      <c r="Y8146" s="6" t="s">
        <v>954</v>
      </c>
    </row>
    <row r="8147">
      <c r="Y8147" s="6" t="s">
        <v>954</v>
      </c>
    </row>
    <row r="8148">
      <c r="Y8148" s="6" t="s">
        <v>954</v>
      </c>
    </row>
    <row r="8149">
      <c r="Y8149" s="6" t="s">
        <v>954</v>
      </c>
    </row>
    <row r="8150">
      <c r="Y8150" s="6" t="s">
        <v>954</v>
      </c>
    </row>
    <row r="8151">
      <c r="Y8151" s="6" t="s">
        <v>954</v>
      </c>
    </row>
    <row r="8152">
      <c r="Y8152" s="6" t="s">
        <v>954</v>
      </c>
    </row>
    <row r="8153">
      <c r="Y8153" s="6" t="s">
        <v>954</v>
      </c>
    </row>
    <row r="8154">
      <c r="Y8154" s="6" t="s">
        <v>954</v>
      </c>
    </row>
    <row r="8155">
      <c r="Y8155" s="6" t="s">
        <v>954</v>
      </c>
    </row>
    <row r="8156">
      <c r="Y8156" s="6" t="s">
        <v>954</v>
      </c>
    </row>
    <row r="8157">
      <c r="Y8157" s="6" t="s">
        <v>954</v>
      </c>
    </row>
    <row r="8158">
      <c r="Y8158" s="6" t="s">
        <v>954</v>
      </c>
    </row>
    <row r="8159">
      <c r="Y8159" s="6" t="s">
        <v>954</v>
      </c>
    </row>
    <row r="8160">
      <c r="Y8160" s="6" t="s">
        <v>954</v>
      </c>
    </row>
    <row r="8161">
      <c r="Y8161" s="6" t="s">
        <v>954</v>
      </c>
    </row>
    <row r="8162">
      <c r="Y8162" s="6" t="s">
        <v>954</v>
      </c>
    </row>
    <row r="8163">
      <c r="Y8163" s="6" t="s">
        <v>954</v>
      </c>
    </row>
    <row r="8164">
      <c r="Y8164" s="6" t="s">
        <v>954</v>
      </c>
    </row>
    <row r="8165">
      <c r="Y8165" s="6" t="s">
        <v>954</v>
      </c>
    </row>
    <row r="8166">
      <c r="Y8166" s="6" t="s">
        <v>954</v>
      </c>
    </row>
    <row r="8167">
      <c r="Y8167" s="6" t="s">
        <v>954</v>
      </c>
    </row>
    <row r="8168">
      <c r="Y8168" s="6" t="s">
        <v>954</v>
      </c>
    </row>
    <row r="8169">
      <c r="Y8169" s="6" t="s">
        <v>954</v>
      </c>
    </row>
    <row r="8170">
      <c r="Y8170" s="6" t="s">
        <v>954</v>
      </c>
    </row>
    <row r="8171">
      <c r="Y8171" s="6" t="s">
        <v>954</v>
      </c>
    </row>
    <row r="8172">
      <c r="Y8172" s="6" t="s">
        <v>954</v>
      </c>
    </row>
    <row r="8173">
      <c r="Y8173" s="6" t="s">
        <v>954</v>
      </c>
    </row>
    <row r="8174">
      <c r="Y8174" s="6" t="s">
        <v>954</v>
      </c>
    </row>
    <row r="8175">
      <c r="Y8175" s="6" t="s">
        <v>954</v>
      </c>
    </row>
    <row r="8176">
      <c r="Y8176" s="6" t="s">
        <v>954</v>
      </c>
    </row>
    <row r="8177">
      <c r="Y8177" s="6" t="s">
        <v>954</v>
      </c>
    </row>
    <row r="8178">
      <c r="Y8178" s="6" t="s">
        <v>954</v>
      </c>
    </row>
    <row r="8179">
      <c r="Y8179" s="6" t="s">
        <v>954</v>
      </c>
    </row>
    <row r="8180">
      <c r="Y8180" s="6" t="s">
        <v>954</v>
      </c>
    </row>
    <row r="8181">
      <c r="Y8181" s="6" t="s">
        <v>954</v>
      </c>
    </row>
    <row r="8182">
      <c r="Y8182" s="6" t="s">
        <v>954</v>
      </c>
    </row>
    <row r="8183">
      <c r="Y8183" s="6" t="s">
        <v>954</v>
      </c>
    </row>
    <row r="8184">
      <c r="Y8184" s="6" t="s">
        <v>954</v>
      </c>
    </row>
    <row r="8185">
      <c r="Y8185" s="6" t="s">
        <v>954</v>
      </c>
    </row>
    <row r="8186">
      <c r="Y8186" s="6" t="s">
        <v>954</v>
      </c>
    </row>
    <row r="8187">
      <c r="Y8187" s="6" t="s">
        <v>954</v>
      </c>
    </row>
    <row r="8188">
      <c r="Y8188" s="6" t="s">
        <v>954</v>
      </c>
    </row>
    <row r="8189">
      <c r="Y8189" s="6" t="s">
        <v>954</v>
      </c>
    </row>
    <row r="8190">
      <c r="Y8190" s="6" t="s">
        <v>954</v>
      </c>
    </row>
    <row r="8191">
      <c r="Y8191" s="6" t="s">
        <v>954</v>
      </c>
    </row>
    <row r="8192">
      <c r="Y8192" s="6" t="s">
        <v>954</v>
      </c>
    </row>
    <row r="8193">
      <c r="Y8193" s="6" t="s">
        <v>954</v>
      </c>
    </row>
    <row r="8194">
      <c r="Y8194" s="6" t="s">
        <v>954</v>
      </c>
    </row>
    <row r="8195">
      <c r="Y8195" s="6" t="s">
        <v>954</v>
      </c>
    </row>
    <row r="8196">
      <c r="Y8196" s="6" t="s">
        <v>954</v>
      </c>
    </row>
    <row r="8197">
      <c r="Y8197" s="6" t="s">
        <v>954</v>
      </c>
    </row>
    <row r="8198">
      <c r="Y8198" s="6" t="s">
        <v>954</v>
      </c>
    </row>
    <row r="8199">
      <c r="Y8199" s="6" t="s">
        <v>954</v>
      </c>
    </row>
    <row r="8200">
      <c r="Y8200" s="6" t="s">
        <v>954</v>
      </c>
    </row>
    <row r="8201">
      <c r="Y8201" s="6" t="s">
        <v>954</v>
      </c>
    </row>
    <row r="8202">
      <c r="Y8202" s="6" t="s">
        <v>954</v>
      </c>
    </row>
    <row r="8203">
      <c r="Y8203" s="6" t="s">
        <v>954</v>
      </c>
    </row>
    <row r="8204">
      <c r="Y8204" s="6" t="s">
        <v>954</v>
      </c>
    </row>
    <row r="8205">
      <c r="Y8205" s="6" t="s">
        <v>954</v>
      </c>
    </row>
    <row r="8206">
      <c r="Y8206" s="6" t="s">
        <v>954</v>
      </c>
    </row>
    <row r="8207">
      <c r="Y8207" s="6" t="s">
        <v>954</v>
      </c>
    </row>
    <row r="8208">
      <c r="Y8208" s="6" t="s">
        <v>954</v>
      </c>
    </row>
    <row r="8209">
      <c r="Y8209" s="6" t="s">
        <v>954</v>
      </c>
    </row>
    <row r="8210">
      <c r="Y8210" s="6" t="s">
        <v>954</v>
      </c>
    </row>
    <row r="8211">
      <c r="Y8211" s="6" t="s">
        <v>954</v>
      </c>
    </row>
    <row r="8212">
      <c r="Y8212" s="6" t="s">
        <v>954</v>
      </c>
    </row>
    <row r="8213">
      <c r="Y8213" s="6" t="s">
        <v>954</v>
      </c>
    </row>
    <row r="8214">
      <c r="Y8214" s="6" t="s">
        <v>954</v>
      </c>
    </row>
    <row r="8215">
      <c r="Y8215" s="6" t="s">
        <v>954</v>
      </c>
    </row>
    <row r="8216">
      <c r="Y8216" s="6" t="s">
        <v>954</v>
      </c>
    </row>
    <row r="8217">
      <c r="Y8217" s="6" t="s">
        <v>954</v>
      </c>
    </row>
    <row r="8218">
      <c r="Y8218" s="6" t="s">
        <v>954</v>
      </c>
    </row>
    <row r="8219">
      <c r="Y8219" s="6" t="s">
        <v>954</v>
      </c>
    </row>
    <row r="8220">
      <c r="Y8220" s="6" t="s">
        <v>954</v>
      </c>
    </row>
    <row r="8221">
      <c r="Y8221" s="6" t="s">
        <v>954</v>
      </c>
    </row>
    <row r="8222">
      <c r="Y8222" s="6" t="s">
        <v>954</v>
      </c>
    </row>
    <row r="8223">
      <c r="Y8223" s="6" t="s">
        <v>954</v>
      </c>
    </row>
    <row r="8224">
      <c r="Y8224" s="6" t="s">
        <v>954</v>
      </c>
    </row>
    <row r="8225">
      <c r="Y8225" s="6" t="s">
        <v>954</v>
      </c>
    </row>
    <row r="8226">
      <c r="Y8226" s="6" t="s">
        <v>954</v>
      </c>
    </row>
    <row r="8227">
      <c r="Y8227" s="6" t="s">
        <v>954</v>
      </c>
    </row>
    <row r="8228">
      <c r="Y8228" s="6" t="s">
        <v>954</v>
      </c>
    </row>
    <row r="8229">
      <c r="Y8229" s="6" t="s">
        <v>954</v>
      </c>
    </row>
    <row r="8230">
      <c r="Y8230" s="6" t="s">
        <v>954</v>
      </c>
    </row>
    <row r="8231">
      <c r="Y8231" s="6" t="s">
        <v>954</v>
      </c>
    </row>
    <row r="8232">
      <c r="Y8232" s="6" t="s">
        <v>954</v>
      </c>
    </row>
    <row r="8233">
      <c r="Y8233" s="6" t="s">
        <v>954</v>
      </c>
    </row>
    <row r="8234">
      <c r="Y8234" s="6" t="s">
        <v>954</v>
      </c>
    </row>
    <row r="8235">
      <c r="Y8235" s="6" t="s">
        <v>954</v>
      </c>
    </row>
    <row r="8236">
      <c r="Y8236" s="6" t="s">
        <v>954</v>
      </c>
    </row>
    <row r="8237">
      <c r="Y8237" s="6" t="s">
        <v>954</v>
      </c>
    </row>
    <row r="8238">
      <c r="Y8238" s="6" t="s">
        <v>954</v>
      </c>
    </row>
    <row r="8239">
      <c r="Y8239" s="6" t="s">
        <v>954</v>
      </c>
    </row>
    <row r="8240">
      <c r="Y8240" s="6" t="s">
        <v>954</v>
      </c>
    </row>
    <row r="8241">
      <c r="Y8241" s="6" t="s">
        <v>954</v>
      </c>
    </row>
    <row r="8242">
      <c r="Y8242" s="6" t="s">
        <v>954</v>
      </c>
    </row>
    <row r="8243">
      <c r="Y8243" s="6" t="s">
        <v>954</v>
      </c>
    </row>
    <row r="8244">
      <c r="Y8244" s="6" t="s">
        <v>954</v>
      </c>
    </row>
    <row r="8245">
      <c r="Y8245" s="6" t="s">
        <v>954</v>
      </c>
    </row>
    <row r="8246">
      <c r="Y8246" s="6" t="s">
        <v>954</v>
      </c>
    </row>
    <row r="8247">
      <c r="Y8247" s="6" t="s">
        <v>954</v>
      </c>
    </row>
    <row r="8248">
      <c r="Y8248" s="6" t="s">
        <v>954</v>
      </c>
    </row>
    <row r="8249">
      <c r="Y8249" s="6" t="s">
        <v>954</v>
      </c>
    </row>
    <row r="8250">
      <c r="Y8250" s="6" t="s">
        <v>954</v>
      </c>
    </row>
    <row r="8251">
      <c r="Y8251" s="6" t="s">
        <v>954</v>
      </c>
    </row>
    <row r="8252">
      <c r="Y8252" s="6" t="s">
        <v>954</v>
      </c>
    </row>
    <row r="8253">
      <c r="Y8253" s="6" t="s">
        <v>954</v>
      </c>
    </row>
    <row r="8254">
      <c r="Y8254" s="6" t="s">
        <v>954</v>
      </c>
    </row>
    <row r="8255">
      <c r="Y8255" s="6" t="s">
        <v>954</v>
      </c>
    </row>
    <row r="8256">
      <c r="Y8256" s="6" t="s">
        <v>954</v>
      </c>
    </row>
    <row r="8257">
      <c r="Y8257" s="6" t="s">
        <v>954</v>
      </c>
    </row>
    <row r="8258">
      <c r="Y8258" s="6" t="s">
        <v>954</v>
      </c>
    </row>
    <row r="8259">
      <c r="Y8259" s="6" t="s">
        <v>954</v>
      </c>
    </row>
    <row r="8260">
      <c r="Y8260" s="6" t="s">
        <v>954</v>
      </c>
    </row>
    <row r="8261">
      <c r="Y8261" s="6" t="s">
        <v>954</v>
      </c>
    </row>
    <row r="8262">
      <c r="Y8262" s="6" t="s">
        <v>954</v>
      </c>
    </row>
    <row r="8263">
      <c r="Y8263" s="6" t="s">
        <v>954</v>
      </c>
    </row>
    <row r="8264">
      <c r="Y8264" s="6" t="s">
        <v>954</v>
      </c>
    </row>
    <row r="8265">
      <c r="Y8265" s="6" t="s">
        <v>954</v>
      </c>
    </row>
    <row r="8266">
      <c r="Y8266" s="6" t="s">
        <v>954</v>
      </c>
    </row>
    <row r="8267">
      <c r="Y8267" s="6" t="s">
        <v>954</v>
      </c>
    </row>
    <row r="8268">
      <c r="Y8268" s="6" t="s">
        <v>954</v>
      </c>
    </row>
    <row r="8269">
      <c r="Y8269" s="6" t="s">
        <v>954</v>
      </c>
    </row>
    <row r="8270">
      <c r="Y8270" s="6" t="s">
        <v>954</v>
      </c>
    </row>
    <row r="8271">
      <c r="Y8271" s="6" t="s">
        <v>954</v>
      </c>
    </row>
    <row r="8272">
      <c r="Y8272" s="6" t="s">
        <v>954</v>
      </c>
    </row>
    <row r="8273">
      <c r="Y8273" s="6" t="s">
        <v>954</v>
      </c>
    </row>
    <row r="8274">
      <c r="Y8274" s="6" t="s">
        <v>954</v>
      </c>
    </row>
    <row r="8275">
      <c r="Y8275" s="6" t="s">
        <v>954</v>
      </c>
    </row>
    <row r="8276">
      <c r="Y8276" s="6" t="s">
        <v>954</v>
      </c>
    </row>
    <row r="8277">
      <c r="Y8277" s="6" t="s">
        <v>954</v>
      </c>
    </row>
    <row r="8278">
      <c r="Y8278" s="6" t="s">
        <v>954</v>
      </c>
    </row>
    <row r="8279">
      <c r="Y8279" s="6" t="s">
        <v>954</v>
      </c>
    </row>
    <row r="8280">
      <c r="Y8280" s="6" t="s">
        <v>954</v>
      </c>
    </row>
    <row r="8281">
      <c r="Y8281" s="6" t="s">
        <v>954</v>
      </c>
    </row>
    <row r="8282">
      <c r="Y8282" s="6" t="s">
        <v>954</v>
      </c>
    </row>
    <row r="8283">
      <c r="Y8283" s="6" t="s">
        <v>954</v>
      </c>
    </row>
    <row r="8284">
      <c r="Y8284" s="6" t="s">
        <v>954</v>
      </c>
    </row>
    <row r="8285">
      <c r="Y8285" s="6" t="s">
        <v>954</v>
      </c>
    </row>
    <row r="8286">
      <c r="Y8286" s="6" t="s">
        <v>954</v>
      </c>
    </row>
    <row r="8287">
      <c r="Y8287" s="6" t="s">
        <v>954</v>
      </c>
    </row>
    <row r="8288">
      <c r="Y8288" s="6" t="s">
        <v>954</v>
      </c>
    </row>
    <row r="8289">
      <c r="Y8289" s="6" t="s">
        <v>954</v>
      </c>
    </row>
    <row r="8290">
      <c r="Y8290" s="6" t="s">
        <v>954</v>
      </c>
    </row>
    <row r="8291">
      <c r="Y8291" s="6" t="s">
        <v>954</v>
      </c>
    </row>
    <row r="8292">
      <c r="Y8292" s="6" t="s">
        <v>954</v>
      </c>
    </row>
    <row r="8293">
      <c r="Y8293" s="6" t="s">
        <v>954</v>
      </c>
    </row>
    <row r="8294">
      <c r="Y8294" s="6" t="s">
        <v>954</v>
      </c>
    </row>
    <row r="8295">
      <c r="Y8295" s="6" t="s">
        <v>954</v>
      </c>
    </row>
    <row r="8296">
      <c r="Y8296" s="6" t="s">
        <v>954</v>
      </c>
    </row>
    <row r="8297">
      <c r="Y8297" s="6" t="s">
        <v>954</v>
      </c>
    </row>
    <row r="8298">
      <c r="Y8298" s="6" t="s">
        <v>954</v>
      </c>
    </row>
    <row r="8299">
      <c r="Y8299" s="6" t="s">
        <v>954</v>
      </c>
    </row>
    <row r="8300">
      <c r="Y8300" s="6" t="s">
        <v>954</v>
      </c>
    </row>
    <row r="8301">
      <c r="Y8301" s="6" t="s">
        <v>954</v>
      </c>
    </row>
    <row r="8302">
      <c r="Y8302" s="6" t="s">
        <v>954</v>
      </c>
    </row>
    <row r="8303">
      <c r="Y8303" s="6" t="s">
        <v>954</v>
      </c>
    </row>
    <row r="8304">
      <c r="Y8304" s="6" t="s">
        <v>954</v>
      </c>
    </row>
    <row r="8305">
      <c r="Y8305" s="6" t="s">
        <v>954</v>
      </c>
    </row>
    <row r="8306">
      <c r="Y8306" s="6" t="s">
        <v>954</v>
      </c>
    </row>
    <row r="8307">
      <c r="Y8307" s="6" t="s">
        <v>954</v>
      </c>
    </row>
    <row r="8308">
      <c r="Y8308" s="6" t="s">
        <v>954</v>
      </c>
    </row>
    <row r="8309">
      <c r="Y8309" s="6" t="s">
        <v>954</v>
      </c>
    </row>
    <row r="8310">
      <c r="Y8310" s="6" t="s">
        <v>954</v>
      </c>
    </row>
    <row r="8311">
      <c r="Y8311" s="6" t="s">
        <v>954</v>
      </c>
    </row>
    <row r="8312">
      <c r="Y8312" s="6" t="s">
        <v>954</v>
      </c>
    </row>
    <row r="8313">
      <c r="Y8313" s="6" t="s">
        <v>954</v>
      </c>
    </row>
    <row r="8314">
      <c r="Y8314" s="6" t="s">
        <v>954</v>
      </c>
    </row>
    <row r="8315">
      <c r="Y8315" s="6" t="s">
        <v>954</v>
      </c>
    </row>
    <row r="8316">
      <c r="Y8316" s="6" t="s">
        <v>954</v>
      </c>
    </row>
    <row r="8317">
      <c r="Y8317" s="6" t="s">
        <v>954</v>
      </c>
    </row>
    <row r="8318">
      <c r="Y8318" s="6" t="s">
        <v>954</v>
      </c>
    </row>
    <row r="8319">
      <c r="Y8319" s="6" t="s">
        <v>954</v>
      </c>
    </row>
    <row r="8320">
      <c r="Y8320" s="6" t="s">
        <v>954</v>
      </c>
    </row>
    <row r="8321">
      <c r="Y8321" s="6" t="s">
        <v>954</v>
      </c>
    </row>
    <row r="8322">
      <c r="Y8322" s="6" t="s">
        <v>954</v>
      </c>
    </row>
    <row r="8323">
      <c r="Y8323" s="6" t="s">
        <v>954</v>
      </c>
    </row>
    <row r="8324">
      <c r="Y8324" s="6" t="s">
        <v>954</v>
      </c>
    </row>
    <row r="8325">
      <c r="Y8325" s="6" t="s">
        <v>954</v>
      </c>
    </row>
    <row r="8326">
      <c r="Y8326" s="6" t="s">
        <v>954</v>
      </c>
    </row>
    <row r="8327">
      <c r="Y8327" s="6" t="s">
        <v>954</v>
      </c>
    </row>
    <row r="8328">
      <c r="Y8328" s="6" t="s">
        <v>954</v>
      </c>
    </row>
    <row r="8329">
      <c r="Y8329" s="6" t="s">
        <v>954</v>
      </c>
    </row>
    <row r="8330">
      <c r="Y8330" s="6" t="s">
        <v>954</v>
      </c>
    </row>
    <row r="8331">
      <c r="Y8331" s="6" t="s">
        <v>954</v>
      </c>
    </row>
    <row r="8332">
      <c r="Y8332" s="6" t="s">
        <v>954</v>
      </c>
    </row>
    <row r="8333">
      <c r="Y8333" s="6" t="s">
        <v>954</v>
      </c>
    </row>
    <row r="8334">
      <c r="Y8334" s="6" t="s">
        <v>954</v>
      </c>
    </row>
    <row r="8335">
      <c r="Y8335" s="6" t="s">
        <v>954</v>
      </c>
    </row>
    <row r="8336">
      <c r="Y8336" s="6" t="s">
        <v>954</v>
      </c>
    </row>
    <row r="8337">
      <c r="Y8337" s="6" t="s">
        <v>954</v>
      </c>
    </row>
    <row r="8338">
      <c r="Y8338" s="6" t="s">
        <v>954</v>
      </c>
    </row>
    <row r="8339">
      <c r="Y8339" s="6" t="s">
        <v>954</v>
      </c>
    </row>
    <row r="8340">
      <c r="Y8340" s="6" t="s">
        <v>954</v>
      </c>
    </row>
    <row r="8341">
      <c r="Y8341" s="6" t="s">
        <v>954</v>
      </c>
    </row>
    <row r="8342">
      <c r="Y8342" s="6" t="s">
        <v>954</v>
      </c>
    </row>
    <row r="8343">
      <c r="Y8343" s="6" t="s">
        <v>954</v>
      </c>
    </row>
    <row r="8344">
      <c r="Y8344" s="6" t="s">
        <v>954</v>
      </c>
    </row>
    <row r="8345">
      <c r="Y8345" s="6" t="s">
        <v>954</v>
      </c>
    </row>
    <row r="8346">
      <c r="Y8346" s="6" t="s">
        <v>954</v>
      </c>
    </row>
    <row r="8347">
      <c r="Y8347" s="6" t="s">
        <v>954</v>
      </c>
    </row>
    <row r="8348">
      <c r="Y8348" s="6" t="s">
        <v>954</v>
      </c>
    </row>
    <row r="8349">
      <c r="Y8349" s="6" t="s">
        <v>954</v>
      </c>
    </row>
    <row r="8350">
      <c r="Y8350" s="6" t="s">
        <v>954</v>
      </c>
    </row>
    <row r="8351">
      <c r="Y8351" s="6" t="s">
        <v>954</v>
      </c>
    </row>
    <row r="8352">
      <c r="Y8352" s="6" t="s">
        <v>954</v>
      </c>
    </row>
    <row r="8353">
      <c r="Y8353" s="6" t="s">
        <v>954</v>
      </c>
    </row>
    <row r="8354">
      <c r="Y8354" s="6" t="s">
        <v>954</v>
      </c>
    </row>
    <row r="8355">
      <c r="Y8355" s="6" t="s">
        <v>954</v>
      </c>
    </row>
    <row r="8356">
      <c r="Y8356" s="6" t="s">
        <v>954</v>
      </c>
    </row>
    <row r="8357">
      <c r="Y8357" s="6" t="s">
        <v>954</v>
      </c>
    </row>
    <row r="8358">
      <c r="Y8358" s="6" t="s">
        <v>954</v>
      </c>
    </row>
    <row r="8359">
      <c r="Y8359" s="6" t="s">
        <v>954</v>
      </c>
    </row>
    <row r="8360">
      <c r="Y8360" s="6" t="s">
        <v>954</v>
      </c>
    </row>
    <row r="8361">
      <c r="Y8361" s="6" t="s">
        <v>954</v>
      </c>
    </row>
    <row r="8362">
      <c r="Y8362" s="6" t="s">
        <v>954</v>
      </c>
    </row>
    <row r="8363">
      <c r="Y8363" s="6" t="s">
        <v>954</v>
      </c>
    </row>
    <row r="8364">
      <c r="Y8364" s="6" t="s">
        <v>954</v>
      </c>
    </row>
    <row r="8365">
      <c r="Y8365" s="6" t="s">
        <v>954</v>
      </c>
    </row>
    <row r="8366">
      <c r="Y8366" s="6" t="s">
        <v>954</v>
      </c>
    </row>
    <row r="8367">
      <c r="Y8367" s="6" t="s">
        <v>954</v>
      </c>
    </row>
    <row r="8368">
      <c r="Y8368" s="6" t="s">
        <v>954</v>
      </c>
    </row>
    <row r="8369">
      <c r="Y8369" s="6" t="s">
        <v>954</v>
      </c>
    </row>
    <row r="8370">
      <c r="Y8370" s="6" t="s">
        <v>954</v>
      </c>
    </row>
    <row r="8371">
      <c r="Y8371" s="6" t="s">
        <v>954</v>
      </c>
    </row>
    <row r="8372">
      <c r="Y8372" s="6" t="s">
        <v>954</v>
      </c>
    </row>
    <row r="8373">
      <c r="Y8373" s="6" t="s">
        <v>954</v>
      </c>
    </row>
    <row r="8374">
      <c r="Y8374" s="6" t="s">
        <v>954</v>
      </c>
    </row>
    <row r="8375">
      <c r="Y8375" s="6" t="s">
        <v>954</v>
      </c>
    </row>
    <row r="8376">
      <c r="Y8376" s="6" t="s">
        <v>954</v>
      </c>
    </row>
    <row r="8377">
      <c r="Y8377" s="6" t="s">
        <v>954</v>
      </c>
    </row>
    <row r="8378">
      <c r="Y8378" s="6" t="s">
        <v>954</v>
      </c>
    </row>
    <row r="8379">
      <c r="Y8379" s="6" t="s">
        <v>954</v>
      </c>
    </row>
    <row r="8380">
      <c r="Y8380" s="6" t="s">
        <v>954</v>
      </c>
    </row>
    <row r="8381">
      <c r="Y8381" s="6" t="s">
        <v>954</v>
      </c>
    </row>
    <row r="8382">
      <c r="Y8382" s="6" t="s">
        <v>954</v>
      </c>
    </row>
    <row r="8383">
      <c r="Y8383" s="6" t="s">
        <v>954</v>
      </c>
    </row>
    <row r="8384">
      <c r="Y8384" s="6" t="s">
        <v>954</v>
      </c>
    </row>
    <row r="8385">
      <c r="Y8385" s="6" t="s">
        <v>954</v>
      </c>
    </row>
    <row r="8386">
      <c r="Y8386" s="6" t="s">
        <v>954</v>
      </c>
    </row>
    <row r="8387">
      <c r="Y8387" s="6" t="s">
        <v>954</v>
      </c>
    </row>
    <row r="8388">
      <c r="Y8388" s="6" t="s">
        <v>954</v>
      </c>
    </row>
    <row r="8389">
      <c r="Y8389" s="6" t="s">
        <v>954</v>
      </c>
    </row>
    <row r="8390">
      <c r="Y8390" s="6" t="s">
        <v>954</v>
      </c>
    </row>
    <row r="8391">
      <c r="Y8391" s="6" t="s">
        <v>954</v>
      </c>
    </row>
    <row r="8392">
      <c r="Y8392" s="6" t="s">
        <v>954</v>
      </c>
    </row>
    <row r="8393">
      <c r="Y8393" s="6" t="s">
        <v>954</v>
      </c>
    </row>
    <row r="8394">
      <c r="Y8394" s="6" t="s">
        <v>954</v>
      </c>
    </row>
    <row r="8395">
      <c r="Y8395" s="6" t="s">
        <v>954</v>
      </c>
    </row>
    <row r="8396">
      <c r="Y8396" s="6" t="s">
        <v>954</v>
      </c>
    </row>
    <row r="8397">
      <c r="Y8397" s="6" t="s">
        <v>954</v>
      </c>
    </row>
    <row r="8398">
      <c r="Y8398" s="6" t="s">
        <v>954</v>
      </c>
    </row>
    <row r="8399">
      <c r="Y8399" s="6" t="s">
        <v>954</v>
      </c>
    </row>
    <row r="8400">
      <c r="Y8400" s="6" t="s">
        <v>954</v>
      </c>
    </row>
    <row r="8401">
      <c r="Y8401" s="6" t="s">
        <v>954</v>
      </c>
    </row>
    <row r="8402">
      <c r="Y8402" s="6" t="s">
        <v>954</v>
      </c>
    </row>
    <row r="8403">
      <c r="Y8403" s="6" t="s">
        <v>954</v>
      </c>
    </row>
    <row r="8404">
      <c r="Y8404" s="6" t="s">
        <v>954</v>
      </c>
    </row>
    <row r="8405">
      <c r="Y8405" s="6" t="s">
        <v>954</v>
      </c>
    </row>
    <row r="8406">
      <c r="Y8406" s="6" t="s">
        <v>954</v>
      </c>
    </row>
    <row r="8407">
      <c r="Y8407" s="6" t="s">
        <v>954</v>
      </c>
    </row>
    <row r="8408">
      <c r="Y8408" s="6" t="s">
        <v>954</v>
      </c>
    </row>
    <row r="8409">
      <c r="Y8409" s="6" t="s">
        <v>954</v>
      </c>
    </row>
    <row r="8410">
      <c r="Y8410" s="6" t="s">
        <v>954</v>
      </c>
    </row>
    <row r="8411">
      <c r="Y8411" s="6" t="s">
        <v>954</v>
      </c>
    </row>
    <row r="8412">
      <c r="Y8412" s="6" t="s">
        <v>954</v>
      </c>
    </row>
    <row r="8413">
      <c r="Y8413" s="6" t="s">
        <v>954</v>
      </c>
    </row>
    <row r="8414">
      <c r="Y8414" s="6" t="s">
        <v>954</v>
      </c>
    </row>
    <row r="8415">
      <c r="Y8415" s="6" t="s">
        <v>954</v>
      </c>
    </row>
    <row r="8416">
      <c r="Y8416" s="6" t="s">
        <v>954</v>
      </c>
    </row>
    <row r="8417">
      <c r="Y8417" s="6" t="s">
        <v>954</v>
      </c>
    </row>
    <row r="8418">
      <c r="Y8418" s="6" t="s">
        <v>954</v>
      </c>
    </row>
    <row r="8419">
      <c r="Y8419" s="6" t="s">
        <v>954</v>
      </c>
    </row>
    <row r="8420">
      <c r="Y8420" s="6" t="s">
        <v>954</v>
      </c>
    </row>
    <row r="8421">
      <c r="Y8421" s="6" t="s">
        <v>954</v>
      </c>
    </row>
    <row r="8422">
      <c r="Y8422" s="6" t="s">
        <v>954</v>
      </c>
    </row>
    <row r="8423">
      <c r="Y8423" s="6" t="s">
        <v>954</v>
      </c>
    </row>
    <row r="8424">
      <c r="Y8424" s="6" t="s">
        <v>954</v>
      </c>
    </row>
    <row r="8425">
      <c r="Y8425" s="6" t="s">
        <v>954</v>
      </c>
    </row>
    <row r="8426">
      <c r="Y8426" s="6" t="s">
        <v>954</v>
      </c>
    </row>
    <row r="8427">
      <c r="Y8427" s="6" t="s">
        <v>954</v>
      </c>
    </row>
    <row r="8428">
      <c r="Y8428" s="6" t="s">
        <v>954</v>
      </c>
    </row>
    <row r="8429">
      <c r="Y8429" s="6" t="s">
        <v>954</v>
      </c>
    </row>
    <row r="8430">
      <c r="Y8430" s="6" t="s">
        <v>954</v>
      </c>
    </row>
    <row r="8431">
      <c r="Y8431" s="6" t="s">
        <v>954</v>
      </c>
    </row>
    <row r="8432">
      <c r="Y8432" s="6" t="s">
        <v>954</v>
      </c>
    </row>
    <row r="8433">
      <c r="Y8433" s="6" t="s">
        <v>954</v>
      </c>
    </row>
    <row r="8434">
      <c r="Y8434" s="6" t="s">
        <v>954</v>
      </c>
    </row>
    <row r="8435">
      <c r="Y8435" s="6" t="s">
        <v>954</v>
      </c>
    </row>
    <row r="8436">
      <c r="Y8436" s="6" t="s">
        <v>954</v>
      </c>
    </row>
    <row r="8437">
      <c r="Y8437" s="6" t="s">
        <v>954</v>
      </c>
    </row>
    <row r="8438">
      <c r="Y8438" s="6" t="s">
        <v>954</v>
      </c>
    </row>
    <row r="8439">
      <c r="Y8439" s="6" t="s">
        <v>954</v>
      </c>
    </row>
    <row r="8440">
      <c r="Y8440" s="6" t="s">
        <v>954</v>
      </c>
    </row>
    <row r="8441">
      <c r="Y8441" s="6" t="s">
        <v>954</v>
      </c>
    </row>
    <row r="8442">
      <c r="Y8442" s="6" t="s">
        <v>954</v>
      </c>
    </row>
    <row r="8443">
      <c r="Y8443" s="6" t="s">
        <v>954</v>
      </c>
    </row>
    <row r="8444">
      <c r="Y8444" s="6" t="s">
        <v>954</v>
      </c>
    </row>
    <row r="8445">
      <c r="Y8445" s="6" t="s">
        <v>954</v>
      </c>
    </row>
    <row r="8446">
      <c r="Y8446" s="6" t="s">
        <v>954</v>
      </c>
    </row>
    <row r="8447">
      <c r="Y8447" s="6" t="s">
        <v>954</v>
      </c>
    </row>
    <row r="8448">
      <c r="Y8448" s="6" t="s">
        <v>954</v>
      </c>
    </row>
    <row r="8449">
      <c r="Y8449" s="6" t="s">
        <v>954</v>
      </c>
    </row>
    <row r="8450">
      <c r="Y8450" s="6" t="s">
        <v>954</v>
      </c>
    </row>
    <row r="8451">
      <c r="Y8451" s="6" t="s">
        <v>954</v>
      </c>
    </row>
    <row r="8452">
      <c r="Y8452" s="6" t="s">
        <v>954</v>
      </c>
    </row>
    <row r="8453">
      <c r="Y8453" s="6" t="s">
        <v>954</v>
      </c>
    </row>
    <row r="8454">
      <c r="Y8454" s="6" t="s">
        <v>954</v>
      </c>
    </row>
    <row r="8455">
      <c r="Y8455" s="6" t="s">
        <v>954</v>
      </c>
    </row>
    <row r="8456">
      <c r="Y8456" s="6" t="s">
        <v>954</v>
      </c>
    </row>
    <row r="8457">
      <c r="Y8457" s="6" t="s">
        <v>954</v>
      </c>
    </row>
    <row r="8458">
      <c r="Y8458" s="6" t="s">
        <v>954</v>
      </c>
    </row>
    <row r="8459">
      <c r="Y8459" s="6" t="s">
        <v>954</v>
      </c>
    </row>
    <row r="8460">
      <c r="Y8460" s="6" t="s">
        <v>954</v>
      </c>
    </row>
    <row r="8461">
      <c r="Y8461" s="6" t="s">
        <v>954</v>
      </c>
    </row>
    <row r="8462">
      <c r="Y8462" s="6" t="s">
        <v>954</v>
      </c>
    </row>
    <row r="8463">
      <c r="Y8463" s="6" t="s">
        <v>954</v>
      </c>
    </row>
    <row r="8464">
      <c r="Y8464" s="6" t="s">
        <v>954</v>
      </c>
    </row>
    <row r="8465">
      <c r="Y8465" s="6" t="s">
        <v>954</v>
      </c>
    </row>
    <row r="8466">
      <c r="Y8466" s="6" t="s">
        <v>954</v>
      </c>
    </row>
    <row r="8467">
      <c r="Y8467" s="6" t="s">
        <v>954</v>
      </c>
    </row>
    <row r="8468">
      <c r="Y8468" s="6" t="s">
        <v>954</v>
      </c>
    </row>
    <row r="8469">
      <c r="Y8469" s="6" t="s">
        <v>954</v>
      </c>
    </row>
    <row r="8470">
      <c r="Y8470" s="6" t="s">
        <v>954</v>
      </c>
    </row>
    <row r="8471">
      <c r="Y8471" s="6" t="s">
        <v>954</v>
      </c>
    </row>
    <row r="8472">
      <c r="Y8472" s="6" t="s">
        <v>954</v>
      </c>
    </row>
    <row r="8473">
      <c r="Y8473" s="6" t="s">
        <v>954</v>
      </c>
    </row>
    <row r="8474">
      <c r="Y8474" s="6" t="s">
        <v>954</v>
      </c>
    </row>
    <row r="8475">
      <c r="Y8475" s="6" t="s">
        <v>954</v>
      </c>
    </row>
    <row r="8476">
      <c r="Y8476" s="6" t="s">
        <v>954</v>
      </c>
    </row>
    <row r="8477">
      <c r="Y8477" s="6" t="s">
        <v>954</v>
      </c>
    </row>
    <row r="8478">
      <c r="Y8478" s="6" t="s">
        <v>954</v>
      </c>
    </row>
    <row r="8479">
      <c r="Y8479" s="6" t="s">
        <v>954</v>
      </c>
    </row>
    <row r="8480">
      <c r="Y8480" s="6" t="s">
        <v>954</v>
      </c>
    </row>
    <row r="8481">
      <c r="Y8481" s="6" t="s">
        <v>954</v>
      </c>
    </row>
    <row r="8482">
      <c r="Y8482" s="6" t="s">
        <v>954</v>
      </c>
    </row>
    <row r="8483">
      <c r="Y8483" s="6" t="s">
        <v>954</v>
      </c>
    </row>
    <row r="8484">
      <c r="Y8484" s="6" t="s">
        <v>954</v>
      </c>
    </row>
    <row r="8485">
      <c r="Y8485" s="6" t="s">
        <v>954</v>
      </c>
    </row>
    <row r="8486">
      <c r="Y8486" s="6" t="s">
        <v>954</v>
      </c>
    </row>
    <row r="8487">
      <c r="Y8487" s="6" t="s">
        <v>954</v>
      </c>
    </row>
    <row r="8488">
      <c r="Y8488" s="6" t="s">
        <v>954</v>
      </c>
    </row>
    <row r="8489">
      <c r="Y8489" s="6" t="s">
        <v>954</v>
      </c>
    </row>
    <row r="8490">
      <c r="Y8490" s="6" t="s">
        <v>954</v>
      </c>
    </row>
    <row r="8491">
      <c r="Y8491" s="6" t="s">
        <v>954</v>
      </c>
    </row>
    <row r="8492">
      <c r="Y8492" s="6" t="s">
        <v>954</v>
      </c>
    </row>
    <row r="8493">
      <c r="Y8493" s="6" t="s">
        <v>954</v>
      </c>
    </row>
    <row r="8494">
      <c r="Y8494" s="6" t="s">
        <v>954</v>
      </c>
    </row>
    <row r="8495">
      <c r="Y8495" s="6" t="s">
        <v>954</v>
      </c>
    </row>
    <row r="8496">
      <c r="Y8496" s="6" t="s">
        <v>954</v>
      </c>
    </row>
    <row r="8497">
      <c r="Y8497" s="6" t="s">
        <v>954</v>
      </c>
    </row>
    <row r="8498">
      <c r="Y8498" s="6" t="s">
        <v>954</v>
      </c>
    </row>
    <row r="8499">
      <c r="Y8499" s="6" t="s">
        <v>954</v>
      </c>
    </row>
    <row r="8500">
      <c r="Y8500" s="6" t="s">
        <v>954</v>
      </c>
    </row>
    <row r="8501">
      <c r="Y8501" s="6" t="s">
        <v>954</v>
      </c>
    </row>
    <row r="8502">
      <c r="Y8502" s="6" t="s">
        <v>954</v>
      </c>
    </row>
    <row r="8503">
      <c r="Y8503" s="6" t="s">
        <v>954</v>
      </c>
    </row>
    <row r="8504">
      <c r="Y8504" s="6" t="s">
        <v>954</v>
      </c>
    </row>
    <row r="8505">
      <c r="Y8505" s="6" t="s">
        <v>954</v>
      </c>
    </row>
    <row r="8506">
      <c r="Y8506" s="6" t="s">
        <v>954</v>
      </c>
    </row>
    <row r="8507">
      <c r="Y8507" s="6" t="s">
        <v>954</v>
      </c>
    </row>
    <row r="8508">
      <c r="Y8508" s="6" t="s">
        <v>954</v>
      </c>
    </row>
    <row r="8509">
      <c r="Y8509" s="6" t="s">
        <v>954</v>
      </c>
    </row>
    <row r="8510">
      <c r="Y8510" s="6" t="s">
        <v>954</v>
      </c>
    </row>
    <row r="8511">
      <c r="Y8511" s="6" t="s">
        <v>954</v>
      </c>
    </row>
    <row r="8512">
      <c r="Y8512" s="6" t="s">
        <v>954</v>
      </c>
    </row>
    <row r="8513">
      <c r="Y8513" s="6" t="s">
        <v>954</v>
      </c>
    </row>
    <row r="8514">
      <c r="Y8514" s="6" t="s">
        <v>954</v>
      </c>
    </row>
    <row r="8515">
      <c r="Y8515" s="6" t="s">
        <v>954</v>
      </c>
    </row>
    <row r="8516">
      <c r="Y8516" s="6" t="s">
        <v>954</v>
      </c>
    </row>
    <row r="8517">
      <c r="Y8517" s="6" t="s">
        <v>954</v>
      </c>
    </row>
    <row r="8518">
      <c r="Y8518" s="6" t="s">
        <v>954</v>
      </c>
    </row>
    <row r="8519">
      <c r="Y8519" s="6" t="s">
        <v>954</v>
      </c>
    </row>
    <row r="8520">
      <c r="Y8520" s="6" t="s">
        <v>954</v>
      </c>
    </row>
    <row r="8521">
      <c r="Y8521" s="6" t="s">
        <v>954</v>
      </c>
    </row>
    <row r="8522">
      <c r="Y8522" s="6" t="s">
        <v>954</v>
      </c>
    </row>
    <row r="8523">
      <c r="Y8523" s="6" t="s">
        <v>954</v>
      </c>
    </row>
    <row r="8524">
      <c r="Y8524" s="6" t="s">
        <v>954</v>
      </c>
    </row>
    <row r="8525">
      <c r="Y8525" s="6" t="s">
        <v>954</v>
      </c>
    </row>
    <row r="8526">
      <c r="Y8526" s="6" t="s">
        <v>954</v>
      </c>
    </row>
    <row r="8527">
      <c r="Y8527" s="6" t="s">
        <v>954</v>
      </c>
    </row>
    <row r="8528">
      <c r="Y8528" s="6" t="s">
        <v>954</v>
      </c>
    </row>
    <row r="8529">
      <c r="Y8529" s="6" t="s">
        <v>954</v>
      </c>
    </row>
    <row r="8530">
      <c r="Y8530" s="6" t="s">
        <v>954</v>
      </c>
    </row>
    <row r="8531">
      <c r="Y8531" s="6" t="s">
        <v>954</v>
      </c>
    </row>
    <row r="8532">
      <c r="Y8532" s="6" t="s">
        <v>954</v>
      </c>
    </row>
    <row r="8533">
      <c r="Y8533" s="6" t="s">
        <v>954</v>
      </c>
    </row>
    <row r="8534">
      <c r="Y8534" s="6" t="s">
        <v>954</v>
      </c>
    </row>
    <row r="8535">
      <c r="Y8535" s="6" t="s">
        <v>954</v>
      </c>
    </row>
    <row r="8536">
      <c r="Y8536" s="6" t="s">
        <v>954</v>
      </c>
    </row>
    <row r="8537">
      <c r="Y8537" s="6" t="s">
        <v>954</v>
      </c>
    </row>
    <row r="8538">
      <c r="Y8538" s="6" t="s">
        <v>954</v>
      </c>
    </row>
    <row r="8539">
      <c r="Y8539" s="6" t="s">
        <v>954</v>
      </c>
    </row>
    <row r="8540">
      <c r="Y8540" s="6" t="s">
        <v>954</v>
      </c>
    </row>
    <row r="8541">
      <c r="Y8541" s="6" t="s">
        <v>954</v>
      </c>
    </row>
    <row r="8542">
      <c r="Y8542" s="6" t="s">
        <v>954</v>
      </c>
    </row>
    <row r="8543">
      <c r="Y8543" s="6" t="s">
        <v>954</v>
      </c>
    </row>
    <row r="8544">
      <c r="Y8544" s="6" t="s">
        <v>954</v>
      </c>
    </row>
    <row r="8545">
      <c r="Y8545" s="6" t="s">
        <v>954</v>
      </c>
    </row>
    <row r="8546">
      <c r="Y8546" s="6" t="s">
        <v>954</v>
      </c>
    </row>
    <row r="8547">
      <c r="Y8547" s="6" t="s">
        <v>954</v>
      </c>
    </row>
    <row r="8548">
      <c r="Y8548" s="6" t="s">
        <v>954</v>
      </c>
    </row>
    <row r="8549">
      <c r="Y8549" s="6" t="s">
        <v>954</v>
      </c>
    </row>
    <row r="8550">
      <c r="Y8550" s="6" t="s">
        <v>954</v>
      </c>
    </row>
    <row r="8551">
      <c r="Y8551" s="6" t="s">
        <v>954</v>
      </c>
    </row>
    <row r="8552">
      <c r="Y8552" s="6" t="s">
        <v>954</v>
      </c>
    </row>
    <row r="8553">
      <c r="Y8553" s="6" t="s">
        <v>954</v>
      </c>
    </row>
    <row r="8554">
      <c r="Y8554" s="6" t="s">
        <v>954</v>
      </c>
    </row>
    <row r="8555">
      <c r="Y8555" s="6" t="s">
        <v>954</v>
      </c>
    </row>
    <row r="8556">
      <c r="Y8556" s="6" t="s">
        <v>954</v>
      </c>
    </row>
    <row r="8557">
      <c r="Y8557" s="6" t="s">
        <v>954</v>
      </c>
    </row>
    <row r="8558">
      <c r="Y8558" s="6" t="s">
        <v>954</v>
      </c>
    </row>
    <row r="8559">
      <c r="Y8559" s="6" t="s">
        <v>954</v>
      </c>
    </row>
    <row r="8560">
      <c r="Y8560" s="6" t="s">
        <v>954</v>
      </c>
    </row>
    <row r="8561">
      <c r="Y8561" s="6" t="s">
        <v>954</v>
      </c>
    </row>
    <row r="8562">
      <c r="Y8562" s="6" t="s">
        <v>954</v>
      </c>
    </row>
    <row r="8563">
      <c r="Y8563" s="6" t="s">
        <v>954</v>
      </c>
    </row>
    <row r="8564">
      <c r="Y8564" s="6" t="s">
        <v>954</v>
      </c>
    </row>
    <row r="8565">
      <c r="Y8565" s="6" t="s">
        <v>954</v>
      </c>
    </row>
    <row r="8566">
      <c r="Y8566" s="6" t="s">
        <v>954</v>
      </c>
    </row>
    <row r="8567">
      <c r="Y8567" s="6" t="s">
        <v>954</v>
      </c>
    </row>
    <row r="8568">
      <c r="Y8568" s="6" t="s">
        <v>954</v>
      </c>
    </row>
    <row r="8569">
      <c r="Y8569" s="6" t="s">
        <v>954</v>
      </c>
    </row>
    <row r="8570">
      <c r="Y8570" s="6" t="s">
        <v>954</v>
      </c>
    </row>
    <row r="8571">
      <c r="Y8571" s="6" t="s">
        <v>954</v>
      </c>
    </row>
    <row r="8572">
      <c r="Y8572" s="6" t="s">
        <v>954</v>
      </c>
    </row>
    <row r="8573">
      <c r="Y8573" s="6" t="s">
        <v>954</v>
      </c>
    </row>
    <row r="8574">
      <c r="Y8574" s="6" t="s">
        <v>954</v>
      </c>
    </row>
    <row r="8575">
      <c r="Y8575" s="6" t="s">
        <v>954</v>
      </c>
    </row>
    <row r="8576">
      <c r="Y8576" s="6" t="s">
        <v>954</v>
      </c>
    </row>
    <row r="8577">
      <c r="Y8577" s="6" t="s">
        <v>954</v>
      </c>
    </row>
    <row r="8578">
      <c r="Y8578" s="6" t="s">
        <v>954</v>
      </c>
    </row>
    <row r="8579">
      <c r="Y8579" s="6" t="s">
        <v>954</v>
      </c>
    </row>
    <row r="8580">
      <c r="Y8580" s="6" t="s">
        <v>954</v>
      </c>
    </row>
    <row r="8581">
      <c r="Y8581" s="6" t="s">
        <v>954</v>
      </c>
    </row>
    <row r="8582">
      <c r="Y8582" s="6" t="s">
        <v>954</v>
      </c>
    </row>
    <row r="8583">
      <c r="Y8583" s="6" t="s">
        <v>954</v>
      </c>
    </row>
    <row r="8584">
      <c r="Y8584" s="6" t="s">
        <v>954</v>
      </c>
    </row>
    <row r="8585">
      <c r="Y8585" s="6" t="s">
        <v>954</v>
      </c>
    </row>
    <row r="8586">
      <c r="Y8586" s="6" t="s">
        <v>954</v>
      </c>
    </row>
    <row r="8587">
      <c r="Y8587" s="6" t="s">
        <v>954</v>
      </c>
    </row>
    <row r="8588">
      <c r="Y8588" s="6" t="s">
        <v>954</v>
      </c>
    </row>
    <row r="8589">
      <c r="Y8589" s="6" t="s">
        <v>954</v>
      </c>
    </row>
    <row r="8590">
      <c r="Y8590" s="6" t="s">
        <v>954</v>
      </c>
    </row>
    <row r="8591">
      <c r="Y8591" s="6" t="s">
        <v>954</v>
      </c>
    </row>
    <row r="8592">
      <c r="Y8592" s="6" t="s">
        <v>954</v>
      </c>
    </row>
    <row r="8593">
      <c r="Y8593" s="6" t="s">
        <v>954</v>
      </c>
    </row>
    <row r="8594">
      <c r="Y8594" s="6" t="s">
        <v>954</v>
      </c>
    </row>
    <row r="8595">
      <c r="Y8595" s="6" t="s">
        <v>954</v>
      </c>
    </row>
    <row r="8596">
      <c r="Y8596" s="6" t="s">
        <v>954</v>
      </c>
    </row>
    <row r="8597">
      <c r="Y8597" s="6" t="s">
        <v>954</v>
      </c>
    </row>
    <row r="8598">
      <c r="Y8598" s="6" t="s">
        <v>954</v>
      </c>
    </row>
    <row r="8599">
      <c r="Y8599" s="6" t="s">
        <v>954</v>
      </c>
    </row>
    <row r="8600">
      <c r="Y8600" s="6" t="s">
        <v>954</v>
      </c>
    </row>
    <row r="8601">
      <c r="Y8601" s="6" t="s">
        <v>954</v>
      </c>
    </row>
    <row r="8602">
      <c r="Y8602" s="6" t="s">
        <v>954</v>
      </c>
    </row>
    <row r="8603">
      <c r="Y8603" s="6" t="s">
        <v>954</v>
      </c>
    </row>
    <row r="8604">
      <c r="Y8604" s="6" t="s">
        <v>954</v>
      </c>
    </row>
    <row r="8605">
      <c r="Y8605" s="6" t="s">
        <v>954</v>
      </c>
    </row>
    <row r="8606">
      <c r="Y8606" s="6" t="s">
        <v>954</v>
      </c>
    </row>
    <row r="8607">
      <c r="Y8607" s="6" t="s">
        <v>954</v>
      </c>
    </row>
    <row r="8608">
      <c r="Y8608" s="6" t="s">
        <v>954</v>
      </c>
    </row>
    <row r="8609">
      <c r="Y8609" s="6" t="s">
        <v>954</v>
      </c>
    </row>
    <row r="8610">
      <c r="Y8610" s="6" t="s">
        <v>954</v>
      </c>
    </row>
    <row r="8611">
      <c r="Y8611" s="6" t="s">
        <v>954</v>
      </c>
    </row>
    <row r="8612">
      <c r="Y8612" s="6" t="s">
        <v>954</v>
      </c>
    </row>
    <row r="8613">
      <c r="Y8613" s="6" t="s">
        <v>954</v>
      </c>
    </row>
    <row r="8614">
      <c r="Y8614" s="6" t="s">
        <v>954</v>
      </c>
    </row>
    <row r="8615">
      <c r="Y8615" s="6" t="s">
        <v>954</v>
      </c>
    </row>
    <row r="8616">
      <c r="Y8616" s="6" t="s">
        <v>954</v>
      </c>
    </row>
    <row r="8617">
      <c r="Y8617" s="6" t="s">
        <v>954</v>
      </c>
    </row>
    <row r="8618">
      <c r="Y8618" s="6" t="s">
        <v>954</v>
      </c>
    </row>
    <row r="8619">
      <c r="Y8619" s="6" t="s">
        <v>954</v>
      </c>
    </row>
    <row r="8620">
      <c r="Y8620" s="6" t="s">
        <v>954</v>
      </c>
    </row>
    <row r="8621">
      <c r="Y8621" s="6" t="s">
        <v>954</v>
      </c>
    </row>
    <row r="8622">
      <c r="Y8622" s="6" t="s">
        <v>954</v>
      </c>
    </row>
    <row r="8623">
      <c r="Y8623" s="6" t="s">
        <v>954</v>
      </c>
    </row>
    <row r="8624">
      <c r="Y8624" s="6" t="s">
        <v>954</v>
      </c>
    </row>
    <row r="8625">
      <c r="Y8625" s="6" t="s">
        <v>954</v>
      </c>
    </row>
    <row r="8626">
      <c r="Y8626" s="6" t="s">
        <v>954</v>
      </c>
    </row>
    <row r="8627">
      <c r="Y8627" s="6" t="s">
        <v>954</v>
      </c>
    </row>
    <row r="8628">
      <c r="Y8628" s="6" t="s">
        <v>954</v>
      </c>
    </row>
    <row r="8629">
      <c r="Y8629" s="6" t="s">
        <v>954</v>
      </c>
    </row>
    <row r="8630">
      <c r="Y8630" s="6" t="s">
        <v>954</v>
      </c>
    </row>
    <row r="8631">
      <c r="Y8631" s="6" t="s">
        <v>954</v>
      </c>
    </row>
    <row r="8632">
      <c r="Y8632" s="6" t="s">
        <v>954</v>
      </c>
    </row>
    <row r="8633">
      <c r="Y8633" s="6" t="s">
        <v>954</v>
      </c>
    </row>
    <row r="8634">
      <c r="Y8634" s="6" t="s">
        <v>954</v>
      </c>
    </row>
    <row r="8635">
      <c r="Y8635" s="6" t="s">
        <v>954</v>
      </c>
    </row>
    <row r="8636">
      <c r="Y8636" s="6" t="s">
        <v>954</v>
      </c>
    </row>
    <row r="8637">
      <c r="Y8637" s="6" t="s">
        <v>954</v>
      </c>
    </row>
    <row r="8638">
      <c r="Y8638" s="6" t="s">
        <v>954</v>
      </c>
    </row>
    <row r="8639">
      <c r="Y8639" s="6" t="s">
        <v>954</v>
      </c>
    </row>
    <row r="8640">
      <c r="Y8640" s="6" t="s">
        <v>954</v>
      </c>
    </row>
    <row r="8641">
      <c r="Y8641" s="6" t="s">
        <v>954</v>
      </c>
    </row>
    <row r="8642">
      <c r="Y8642" s="6" t="s">
        <v>954</v>
      </c>
    </row>
    <row r="8643">
      <c r="Y8643" s="6" t="s">
        <v>954</v>
      </c>
    </row>
    <row r="8644">
      <c r="Y8644" s="6" t="s">
        <v>954</v>
      </c>
    </row>
    <row r="8645">
      <c r="Y8645" s="6" t="s">
        <v>954</v>
      </c>
    </row>
    <row r="8646">
      <c r="Y8646" s="6" t="s">
        <v>954</v>
      </c>
    </row>
    <row r="8647">
      <c r="Y8647" s="6" t="s">
        <v>954</v>
      </c>
    </row>
    <row r="8648">
      <c r="Y8648" s="6" t="s">
        <v>954</v>
      </c>
    </row>
    <row r="8649">
      <c r="Y8649" s="6" t="s">
        <v>954</v>
      </c>
    </row>
    <row r="8650">
      <c r="Y8650" s="6" t="s">
        <v>954</v>
      </c>
    </row>
    <row r="8651">
      <c r="Y8651" s="6" t="s">
        <v>954</v>
      </c>
    </row>
    <row r="8652">
      <c r="Y8652" s="6" t="s">
        <v>954</v>
      </c>
    </row>
    <row r="8653">
      <c r="Y8653" s="6" t="s">
        <v>954</v>
      </c>
    </row>
    <row r="8654">
      <c r="Y8654" s="6" t="s">
        <v>954</v>
      </c>
    </row>
    <row r="8655">
      <c r="Y8655" s="6" t="s">
        <v>954</v>
      </c>
    </row>
    <row r="8656">
      <c r="Y8656" s="6" t="s">
        <v>954</v>
      </c>
    </row>
    <row r="8657">
      <c r="Y8657" s="6" t="s">
        <v>954</v>
      </c>
    </row>
    <row r="8658">
      <c r="Y8658" s="6" t="s">
        <v>954</v>
      </c>
    </row>
    <row r="8659">
      <c r="Y8659" s="6" t="s">
        <v>954</v>
      </c>
    </row>
    <row r="8660">
      <c r="Y8660" s="6" t="s">
        <v>954</v>
      </c>
    </row>
    <row r="8661">
      <c r="Y8661" s="6" t="s">
        <v>954</v>
      </c>
    </row>
    <row r="8662">
      <c r="Y8662" s="6" t="s">
        <v>954</v>
      </c>
    </row>
    <row r="8663">
      <c r="Y8663" s="6" t="s">
        <v>954</v>
      </c>
    </row>
    <row r="8664">
      <c r="Y8664" s="6" t="s">
        <v>954</v>
      </c>
    </row>
    <row r="8665">
      <c r="Y8665" s="6" t="s">
        <v>954</v>
      </c>
    </row>
    <row r="8666">
      <c r="Y8666" s="6" t="s">
        <v>954</v>
      </c>
    </row>
    <row r="8667">
      <c r="Y8667" s="6" t="s">
        <v>954</v>
      </c>
    </row>
    <row r="8668">
      <c r="Y8668" s="6" t="s">
        <v>954</v>
      </c>
    </row>
    <row r="8669">
      <c r="Y8669" s="6" t="s">
        <v>954</v>
      </c>
    </row>
    <row r="8670">
      <c r="Y8670" s="6" t="s">
        <v>954</v>
      </c>
    </row>
    <row r="8671">
      <c r="Y8671" s="6" t="s">
        <v>954</v>
      </c>
    </row>
    <row r="8672">
      <c r="Y8672" s="6" t="s">
        <v>954</v>
      </c>
    </row>
    <row r="8673">
      <c r="Y8673" s="6" t="s">
        <v>954</v>
      </c>
    </row>
    <row r="8674">
      <c r="Y8674" s="6" t="s">
        <v>954</v>
      </c>
    </row>
    <row r="8675">
      <c r="Y8675" s="6" t="s">
        <v>954</v>
      </c>
    </row>
    <row r="8676">
      <c r="Y8676" s="6" t="s">
        <v>954</v>
      </c>
    </row>
    <row r="8677">
      <c r="Y8677" s="6" t="s">
        <v>954</v>
      </c>
    </row>
    <row r="8678">
      <c r="Y8678" s="6" t="s">
        <v>954</v>
      </c>
    </row>
    <row r="8679">
      <c r="Y8679" s="6" t="s">
        <v>954</v>
      </c>
    </row>
    <row r="8680">
      <c r="Y8680" s="6" t="s">
        <v>954</v>
      </c>
    </row>
    <row r="8681">
      <c r="Y8681" s="6" t="s">
        <v>954</v>
      </c>
    </row>
    <row r="8682">
      <c r="Y8682" s="6" t="s">
        <v>954</v>
      </c>
    </row>
    <row r="8683">
      <c r="Y8683" s="6" t="s">
        <v>954</v>
      </c>
    </row>
    <row r="8684">
      <c r="Y8684" s="6" t="s">
        <v>954</v>
      </c>
    </row>
    <row r="8685">
      <c r="Y8685" s="6" t="s">
        <v>954</v>
      </c>
    </row>
    <row r="8686">
      <c r="Y8686" s="6" t="s">
        <v>954</v>
      </c>
    </row>
    <row r="8687">
      <c r="Y8687" s="6" t="s">
        <v>954</v>
      </c>
    </row>
    <row r="8688">
      <c r="Y8688" s="6" t="s">
        <v>954</v>
      </c>
    </row>
    <row r="8689">
      <c r="Y8689" s="6" t="s">
        <v>954</v>
      </c>
    </row>
    <row r="8690">
      <c r="Y8690" s="6" t="s">
        <v>954</v>
      </c>
    </row>
    <row r="8691">
      <c r="Y8691" s="6" t="s">
        <v>954</v>
      </c>
    </row>
    <row r="8692">
      <c r="Y8692" s="6" t="s">
        <v>954</v>
      </c>
    </row>
    <row r="8693">
      <c r="Y8693" s="6" t="s">
        <v>954</v>
      </c>
    </row>
    <row r="8694">
      <c r="Y8694" s="6" t="s">
        <v>954</v>
      </c>
    </row>
    <row r="8695">
      <c r="Y8695" s="6" t="s">
        <v>954</v>
      </c>
    </row>
    <row r="8696">
      <c r="Y8696" s="6" t="s">
        <v>954</v>
      </c>
    </row>
    <row r="8697">
      <c r="Y8697" s="6" t="s">
        <v>954</v>
      </c>
    </row>
    <row r="8698">
      <c r="Y8698" s="6" t="s">
        <v>954</v>
      </c>
    </row>
    <row r="8699">
      <c r="Y8699" s="6" t="s">
        <v>954</v>
      </c>
    </row>
    <row r="8700">
      <c r="Y8700" s="6" t="s">
        <v>954</v>
      </c>
    </row>
    <row r="8701">
      <c r="Y8701" s="6" t="s">
        <v>954</v>
      </c>
    </row>
    <row r="8702">
      <c r="Y8702" s="6" t="s">
        <v>954</v>
      </c>
    </row>
    <row r="8703">
      <c r="Y8703" s="6" t="s">
        <v>954</v>
      </c>
    </row>
    <row r="8704">
      <c r="Y8704" s="6" t="s">
        <v>954</v>
      </c>
    </row>
    <row r="8705">
      <c r="Y8705" s="6" t="s">
        <v>954</v>
      </c>
    </row>
    <row r="8706">
      <c r="Y8706" s="6" t="s">
        <v>954</v>
      </c>
    </row>
    <row r="8707">
      <c r="Y8707" s="6" t="s">
        <v>954</v>
      </c>
    </row>
    <row r="8708">
      <c r="Y8708" s="6" t="s">
        <v>954</v>
      </c>
    </row>
    <row r="8709">
      <c r="Y8709" s="6" t="s">
        <v>954</v>
      </c>
    </row>
    <row r="8710">
      <c r="Y8710" s="6" t="s">
        <v>954</v>
      </c>
    </row>
    <row r="8711">
      <c r="Y8711" s="6" t="s">
        <v>954</v>
      </c>
    </row>
    <row r="8712">
      <c r="Y8712" s="6" t="s">
        <v>954</v>
      </c>
    </row>
    <row r="8713">
      <c r="Y8713" s="6" t="s">
        <v>954</v>
      </c>
    </row>
    <row r="8714">
      <c r="Y8714" s="6" t="s">
        <v>954</v>
      </c>
    </row>
    <row r="8715">
      <c r="Y8715" s="6" t="s">
        <v>954</v>
      </c>
    </row>
    <row r="8716">
      <c r="Y8716" s="6" t="s">
        <v>954</v>
      </c>
    </row>
    <row r="8717">
      <c r="Y8717" s="6" t="s">
        <v>954</v>
      </c>
    </row>
    <row r="8718">
      <c r="Y8718" s="6" t="s">
        <v>954</v>
      </c>
    </row>
    <row r="8719">
      <c r="Y8719" s="6" t="s">
        <v>954</v>
      </c>
    </row>
    <row r="8720">
      <c r="Y8720" s="6" t="s">
        <v>954</v>
      </c>
    </row>
    <row r="8721">
      <c r="Y8721" s="6" t="s">
        <v>954</v>
      </c>
    </row>
    <row r="8722">
      <c r="Y8722" s="6" t="s">
        <v>954</v>
      </c>
    </row>
    <row r="8723">
      <c r="Y8723" s="6" t="s">
        <v>954</v>
      </c>
    </row>
    <row r="8724">
      <c r="Y8724" s="6" t="s">
        <v>954</v>
      </c>
    </row>
    <row r="8725">
      <c r="Y8725" s="6" t="s">
        <v>954</v>
      </c>
    </row>
    <row r="8726">
      <c r="Y8726" s="6" t="s">
        <v>954</v>
      </c>
    </row>
    <row r="8727">
      <c r="Y8727" s="6" t="s">
        <v>954</v>
      </c>
    </row>
    <row r="8728">
      <c r="Y8728" s="6" t="s">
        <v>954</v>
      </c>
    </row>
    <row r="8729">
      <c r="Y8729" s="6" t="s">
        <v>954</v>
      </c>
    </row>
    <row r="8730">
      <c r="Y8730" s="6" t="s">
        <v>954</v>
      </c>
    </row>
    <row r="8731">
      <c r="Y8731" s="6" t="s">
        <v>954</v>
      </c>
    </row>
    <row r="8732">
      <c r="Y8732" s="6" t="s">
        <v>954</v>
      </c>
    </row>
    <row r="8733">
      <c r="Y8733" s="6" t="s">
        <v>954</v>
      </c>
    </row>
    <row r="8734">
      <c r="Y8734" s="6" t="s">
        <v>954</v>
      </c>
    </row>
    <row r="8735">
      <c r="Y8735" s="6" t="s">
        <v>954</v>
      </c>
    </row>
    <row r="8736">
      <c r="Y8736" s="6" t="s">
        <v>954</v>
      </c>
    </row>
    <row r="8737">
      <c r="Y8737" s="6" t="s">
        <v>954</v>
      </c>
    </row>
    <row r="8738">
      <c r="Y8738" s="6" t="s">
        <v>954</v>
      </c>
    </row>
    <row r="8739">
      <c r="Y8739" s="6" t="s">
        <v>954</v>
      </c>
    </row>
    <row r="8740">
      <c r="Y8740" s="6" t="s">
        <v>954</v>
      </c>
    </row>
    <row r="8741">
      <c r="Y8741" s="6" t="s">
        <v>954</v>
      </c>
    </row>
    <row r="8742">
      <c r="Y8742" s="6" t="s">
        <v>954</v>
      </c>
    </row>
    <row r="8743">
      <c r="Y8743" s="6" t="s">
        <v>954</v>
      </c>
    </row>
    <row r="8744">
      <c r="Y8744" s="6" t="s">
        <v>954</v>
      </c>
    </row>
    <row r="8745">
      <c r="Y8745" s="6" t="s">
        <v>954</v>
      </c>
    </row>
    <row r="8746">
      <c r="Y8746" s="6" t="s">
        <v>954</v>
      </c>
    </row>
    <row r="8747">
      <c r="Y8747" s="6" t="s">
        <v>954</v>
      </c>
    </row>
    <row r="8748">
      <c r="Y8748" s="6" t="s">
        <v>954</v>
      </c>
    </row>
    <row r="8749">
      <c r="Y8749" s="6" t="s">
        <v>954</v>
      </c>
    </row>
    <row r="8750">
      <c r="Y8750" s="6" t="s">
        <v>954</v>
      </c>
    </row>
    <row r="8751">
      <c r="Y8751" s="6" t="s">
        <v>954</v>
      </c>
    </row>
    <row r="8752">
      <c r="Y8752" s="6" t="s">
        <v>954</v>
      </c>
    </row>
    <row r="8753">
      <c r="Y8753" s="6" t="s">
        <v>954</v>
      </c>
    </row>
    <row r="8754">
      <c r="Y8754" s="6" t="s">
        <v>954</v>
      </c>
    </row>
    <row r="8755">
      <c r="Y8755" s="6" t="s">
        <v>954</v>
      </c>
    </row>
    <row r="8756">
      <c r="Y8756" s="6" t="s">
        <v>954</v>
      </c>
    </row>
    <row r="8757">
      <c r="Y8757" s="6" t="s">
        <v>954</v>
      </c>
    </row>
    <row r="8758">
      <c r="Y8758" s="6" t="s">
        <v>954</v>
      </c>
    </row>
    <row r="8759">
      <c r="Y8759" s="6" t="s">
        <v>954</v>
      </c>
    </row>
    <row r="8760">
      <c r="Y8760" s="6" t="s">
        <v>954</v>
      </c>
    </row>
    <row r="8761">
      <c r="Y8761" s="6" t="s">
        <v>954</v>
      </c>
    </row>
    <row r="8762">
      <c r="Y8762" s="6" t="s">
        <v>954</v>
      </c>
    </row>
    <row r="8763">
      <c r="Y8763" s="6" t="s">
        <v>954</v>
      </c>
    </row>
    <row r="8764">
      <c r="Y8764" s="6" t="s">
        <v>954</v>
      </c>
    </row>
    <row r="8765">
      <c r="Y8765" s="6" t="s">
        <v>954</v>
      </c>
    </row>
    <row r="8766">
      <c r="Y8766" s="6" t="s">
        <v>954</v>
      </c>
    </row>
    <row r="8767">
      <c r="Y8767" s="6" t="s">
        <v>954</v>
      </c>
    </row>
    <row r="8768">
      <c r="Y8768" s="6" t="s">
        <v>954</v>
      </c>
    </row>
    <row r="8769">
      <c r="Y8769" s="6" t="s">
        <v>954</v>
      </c>
    </row>
    <row r="8770">
      <c r="Y8770" s="6" t="s">
        <v>954</v>
      </c>
    </row>
    <row r="8771">
      <c r="Y8771" s="6" t="s">
        <v>954</v>
      </c>
    </row>
    <row r="8772">
      <c r="Y8772" s="6" t="s">
        <v>954</v>
      </c>
    </row>
    <row r="8773">
      <c r="Y8773" s="6" t="s">
        <v>954</v>
      </c>
    </row>
    <row r="8774">
      <c r="Y8774" s="6" t="s">
        <v>954</v>
      </c>
    </row>
    <row r="8775">
      <c r="Y8775" s="6" t="s">
        <v>954</v>
      </c>
    </row>
    <row r="8776">
      <c r="Y8776" s="6" t="s">
        <v>954</v>
      </c>
    </row>
    <row r="8777">
      <c r="Y8777" s="6" t="s">
        <v>954</v>
      </c>
    </row>
    <row r="8778">
      <c r="Y8778" s="6" t="s">
        <v>954</v>
      </c>
    </row>
    <row r="8779">
      <c r="Y8779" s="6" t="s">
        <v>954</v>
      </c>
    </row>
    <row r="8780">
      <c r="Y8780" s="6" t="s">
        <v>954</v>
      </c>
    </row>
    <row r="8781">
      <c r="Y8781" s="6" t="s">
        <v>954</v>
      </c>
    </row>
    <row r="8782">
      <c r="Y8782" s="6" t="s">
        <v>954</v>
      </c>
    </row>
    <row r="8783">
      <c r="Y8783" s="6" t="s">
        <v>954</v>
      </c>
    </row>
    <row r="8784">
      <c r="Y8784" s="6" t="s">
        <v>954</v>
      </c>
    </row>
    <row r="8785">
      <c r="Y8785" s="6" t="s">
        <v>954</v>
      </c>
    </row>
    <row r="8786">
      <c r="Y8786" s="6" t="s">
        <v>954</v>
      </c>
    </row>
    <row r="8787">
      <c r="Y8787" s="6" t="s">
        <v>954</v>
      </c>
    </row>
    <row r="8788">
      <c r="Y8788" s="6" t="s">
        <v>954</v>
      </c>
    </row>
    <row r="8789">
      <c r="Y8789" s="6" t="s">
        <v>954</v>
      </c>
    </row>
    <row r="8790">
      <c r="Y8790" s="6" t="s">
        <v>954</v>
      </c>
    </row>
    <row r="8791">
      <c r="Y8791" s="6" t="s">
        <v>954</v>
      </c>
    </row>
    <row r="8792">
      <c r="Y8792" s="6" t="s">
        <v>954</v>
      </c>
    </row>
    <row r="8793">
      <c r="Y8793" s="6" t="s">
        <v>954</v>
      </c>
    </row>
    <row r="8794">
      <c r="Y8794" s="6" t="s">
        <v>954</v>
      </c>
    </row>
    <row r="8795">
      <c r="Y8795" s="6" t="s">
        <v>954</v>
      </c>
    </row>
    <row r="8796">
      <c r="Y8796" s="6" t="s">
        <v>954</v>
      </c>
    </row>
    <row r="8797">
      <c r="Y8797" s="6" t="s">
        <v>954</v>
      </c>
    </row>
    <row r="8798">
      <c r="Y8798" s="6" t="s">
        <v>954</v>
      </c>
    </row>
    <row r="8799">
      <c r="Y8799" s="6" t="s">
        <v>954</v>
      </c>
    </row>
    <row r="8800">
      <c r="Y8800" s="6" t="s">
        <v>954</v>
      </c>
    </row>
    <row r="8801">
      <c r="Y8801" s="6" t="s">
        <v>954</v>
      </c>
    </row>
    <row r="8802">
      <c r="Y8802" s="6" t="s">
        <v>954</v>
      </c>
    </row>
    <row r="8803">
      <c r="Y8803" s="6" t="s">
        <v>954</v>
      </c>
    </row>
    <row r="8804">
      <c r="Y8804" s="6" t="s">
        <v>954</v>
      </c>
    </row>
    <row r="8805">
      <c r="Y8805" s="6" t="s">
        <v>954</v>
      </c>
    </row>
    <row r="8806">
      <c r="Y8806" s="6" t="s">
        <v>954</v>
      </c>
    </row>
    <row r="8807">
      <c r="Y8807" s="6" t="s">
        <v>954</v>
      </c>
    </row>
    <row r="8808">
      <c r="Y8808" s="6" t="s">
        <v>954</v>
      </c>
    </row>
    <row r="8809">
      <c r="Y8809" s="6" t="s">
        <v>954</v>
      </c>
    </row>
    <row r="8810">
      <c r="Y8810" s="6" t="s">
        <v>954</v>
      </c>
    </row>
    <row r="8811">
      <c r="Y8811" s="6" t="s">
        <v>954</v>
      </c>
    </row>
    <row r="8812">
      <c r="Y8812" s="6" t="s">
        <v>954</v>
      </c>
    </row>
    <row r="8813">
      <c r="Y8813" s="6" t="s">
        <v>954</v>
      </c>
    </row>
    <row r="8814">
      <c r="Y8814" s="6" t="s">
        <v>954</v>
      </c>
    </row>
    <row r="8815">
      <c r="Y8815" s="6" t="s">
        <v>954</v>
      </c>
    </row>
    <row r="8816">
      <c r="Y8816" s="6" t="s">
        <v>954</v>
      </c>
    </row>
    <row r="8817">
      <c r="Y8817" s="6" t="s">
        <v>954</v>
      </c>
    </row>
    <row r="8818">
      <c r="Y8818" s="6" t="s">
        <v>954</v>
      </c>
    </row>
    <row r="8819">
      <c r="Y8819" s="6" t="s">
        <v>954</v>
      </c>
    </row>
    <row r="8820">
      <c r="Y8820" s="6" t="s">
        <v>954</v>
      </c>
    </row>
    <row r="8821">
      <c r="Y8821" s="6" t="s">
        <v>954</v>
      </c>
    </row>
    <row r="8822">
      <c r="Y8822" s="6" t="s">
        <v>954</v>
      </c>
    </row>
    <row r="8823">
      <c r="Y8823" s="6" t="s">
        <v>954</v>
      </c>
    </row>
    <row r="8824">
      <c r="Y8824" s="6" t="s">
        <v>954</v>
      </c>
    </row>
    <row r="8825">
      <c r="Y8825" s="6" t="s">
        <v>954</v>
      </c>
    </row>
    <row r="8826">
      <c r="Y8826" s="6" t="s">
        <v>954</v>
      </c>
    </row>
    <row r="8827">
      <c r="Y8827" s="6" t="s">
        <v>954</v>
      </c>
    </row>
    <row r="8828">
      <c r="Y8828" s="6" t="s">
        <v>954</v>
      </c>
    </row>
    <row r="8829">
      <c r="Y8829" s="6" t="s">
        <v>954</v>
      </c>
    </row>
    <row r="8830">
      <c r="Y8830" s="6" t="s">
        <v>954</v>
      </c>
    </row>
    <row r="8831">
      <c r="Y8831" s="6" t="s">
        <v>954</v>
      </c>
    </row>
    <row r="8832">
      <c r="Y8832" s="6" t="s">
        <v>954</v>
      </c>
    </row>
    <row r="8833">
      <c r="Y8833" s="6" t="s">
        <v>954</v>
      </c>
    </row>
    <row r="8834">
      <c r="Y8834" s="6" t="s">
        <v>954</v>
      </c>
    </row>
    <row r="8835">
      <c r="Y8835" s="6" t="s">
        <v>954</v>
      </c>
    </row>
    <row r="8836">
      <c r="Y8836" s="6" t="s">
        <v>954</v>
      </c>
    </row>
    <row r="8837">
      <c r="Y8837" s="6" t="s">
        <v>954</v>
      </c>
    </row>
    <row r="8838">
      <c r="Y8838" s="6" t="s">
        <v>954</v>
      </c>
    </row>
    <row r="8839">
      <c r="Y8839" s="6" t="s">
        <v>954</v>
      </c>
    </row>
    <row r="8840">
      <c r="Y8840" s="6" t="s">
        <v>954</v>
      </c>
    </row>
    <row r="8841">
      <c r="Y8841" s="6" t="s">
        <v>954</v>
      </c>
    </row>
    <row r="8842">
      <c r="Y8842" s="6" t="s">
        <v>954</v>
      </c>
    </row>
    <row r="8843">
      <c r="Y8843" s="6" t="s">
        <v>954</v>
      </c>
    </row>
    <row r="8844">
      <c r="Y8844" s="6" t="s">
        <v>954</v>
      </c>
    </row>
    <row r="8845">
      <c r="Y8845" s="6" t="s">
        <v>954</v>
      </c>
    </row>
    <row r="8846">
      <c r="Y8846" s="6" t="s">
        <v>954</v>
      </c>
    </row>
    <row r="8847">
      <c r="Y8847" s="6" t="s">
        <v>954</v>
      </c>
    </row>
    <row r="8848">
      <c r="Y8848" s="6" t="s">
        <v>954</v>
      </c>
    </row>
    <row r="8849">
      <c r="Y8849" s="6" t="s">
        <v>954</v>
      </c>
    </row>
    <row r="8850">
      <c r="Y8850" s="6" t="s">
        <v>954</v>
      </c>
    </row>
    <row r="8851">
      <c r="Y8851" s="6" t="s">
        <v>954</v>
      </c>
    </row>
    <row r="8852">
      <c r="Y8852" s="6" t="s">
        <v>954</v>
      </c>
    </row>
    <row r="8853">
      <c r="Y8853" s="6" t="s">
        <v>954</v>
      </c>
    </row>
    <row r="8854">
      <c r="Y8854" s="6" t="s">
        <v>954</v>
      </c>
    </row>
    <row r="8855">
      <c r="Y8855" s="6" t="s">
        <v>954</v>
      </c>
    </row>
    <row r="8856">
      <c r="Y8856" s="6" t="s">
        <v>954</v>
      </c>
    </row>
    <row r="8857">
      <c r="Y8857" s="6" t="s">
        <v>954</v>
      </c>
    </row>
    <row r="8858">
      <c r="Y8858" s="6" t="s">
        <v>954</v>
      </c>
    </row>
    <row r="8859">
      <c r="Y8859" s="6" t="s">
        <v>954</v>
      </c>
    </row>
    <row r="8860">
      <c r="Y8860" s="6" t="s">
        <v>954</v>
      </c>
    </row>
    <row r="8861">
      <c r="Y8861" s="6" t="s">
        <v>954</v>
      </c>
    </row>
    <row r="8862">
      <c r="Y8862" s="6" t="s">
        <v>954</v>
      </c>
    </row>
    <row r="8863">
      <c r="Y8863" s="6" t="s">
        <v>954</v>
      </c>
    </row>
    <row r="8864">
      <c r="Y8864" s="6" t="s">
        <v>954</v>
      </c>
    </row>
    <row r="8865">
      <c r="Y8865" s="6" t="s">
        <v>954</v>
      </c>
    </row>
    <row r="8866">
      <c r="Y8866" s="6" t="s">
        <v>954</v>
      </c>
    </row>
    <row r="8867">
      <c r="Y8867" s="6" t="s">
        <v>954</v>
      </c>
    </row>
    <row r="8868">
      <c r="Y8868" s="6" t="s">
        <v>954</v>
      </c>
    </row>
    <row r="8869">
      <c r="Y8869" s="6" t="s">
        <v>954</v>
      </c>
    </row>
    <row r="8870">
      <c r="Y8870" s="6" t="s">
        <v>954</v>
      </c>
    </row>
    <row r="8871">
      <c r="Y8871" s="6" t="s">
        <v>954</v>
      </c>
    </row>
    <row r="8872">
      <c r="Y8872" s="6" t="s">
        <v>954</v>
      </c>
    </row>
    <row r="8873">
      <c r="Y8873" s="6" t="s">
        <v>954</v>
      </c>
    </row>
    <row r="8874">
      <c r="Y8874" s="6" t="s">
        <v>954</v>
      </c>
    </row>
    <row r="8875">
      <c r="Y8875" s="6" t="s">
        <v>954</v>
      </c>
    </row>
    <row r="8876">
      <c r="Y8876" s="6" t="s">
        <v>954</v>
      </c>
    </row>
    <row r="8877">
      <c r="Y8877" s="6" t="s">
        <v>954</v>
      </c>
    </row>
    <row r="8878">
      <c r="Y8878" s="6" t="s">
        <v>954</v>
      </c>
    </row>
    <row r="8879">
      <c r="Y8879" s="6" t="s">
        <v>954</v>
      </c>
    </row>
    <row r="8880">
      <c r="Y8880" s="6" t="s">
        <v>954</v>
      </c>
    </row>
    <row r="8881">
      <c r="Y8881" s="6" t="s">
        <v>954</v>
      </c>
    </row>
    <row r="8882">
      <c r="Y8882" s="6" t="s">
        <v>954</v>
      </c>
    </row>
    <row r="8883">
      <c r="Y8883" s="6" t="s">
        <v>954</v>
      </c>
    </row>
    <row r="8884">
      <c r="Y8884" s="6" t="s">
        <v>954</v>
      </c>
    </row>
    <row r="8885">
      <c r="Y8885" s="6" t="s">
        <v>954</v>
      </c>
    </row>
    <row r="8886">
      <c r="Y8886" s="6" t="s">
        <v>954</v>
      </c>
    </row>
    <row r="8887">
      <c r="Y8887" s="6" t="s">
        <v>954</v>
      </c>
    </row>
    <row r="8888">
      <c r="Y8888" s="6" t="s">
        <v>954</v>
      </c>
    </row>
    <row r="8889">
      <c r="Y8889" s="6" t="s">
        <v>954</v>
      </c>
    </row>
    <row r="8890">
      <c r="Y8890" s="6" t="s">
        <v>954</v>
      </c>
    </row>
    <row r="8891">
      <c r="Y8891" s="6" t="s">
        <v>954</v>
      </c>
    </row>
    <row r="8892">
      <c r="Y8892" s="6" t="s">
        <v>954</v>
      </c>
    </row>
    <row r="8893">
      <c r="Y8893" s="6" t="s">
        <v>954</v>
      </c>
    </row>
    <row r="8894">
      <c r="Y8894" s="6" t="s">
        <v>954</v>
      </c>
    </row>
    <row r="8895">
      <c r="Y8895" s="6" t="s">
        <v>954</v>
      </c>
    </row>
    <row r="8896">
      <c r="Y8896" s="6" t="s">
        <v>954</v>
      </c>
    </row>
    <row r="8897">
      <c r="Y8897" s="6" t="s">
        <v>954</v>
      </c>
    </row>
    <row r="8898">
      <c r="Y8898" s="6" t="s">
        <v>954</v>
      </c>
    </row>
    <row r="8899">
      <c r="Y8899" s="6" t="s">
        <v>954</v>
      </c>
    </row>
    <row r="8900">
      <c r="Y8900" s="6" t="s">
        <v>954</v>
      </c>
    </row>
    <row r="8901">
      <c r="Y8901" s="6" t="s">
        <v>954</v>
      </c>
    </row>
    <row r="8902">
      <c r="Y8902" s="6" t="s">
        <v>954</v>
      </c>
    </row>
    <row r="8903">
      <c r="Y8903" s="6" t="s">
        <v>954</v>
      </c>
    </row>
    <row r="8904">
      <c r="Y8904" s="6" t="s">
        <v>954</v>
      </c>
    </row>
    <row r="8905">
      <c r="Y8905" s="6" t="s">
        <v>954</v>
      </c>
    </row>
    <row r="8906">
      <c r="Y8906" s="6" t="s">
        <v>954</v>
      </c>
    </row>
    <row r="8907">
      <c r="Y8907" s="6" t="s">
        <v>954</v>
      </c>
    </row>
    <row r="8908">
      <c r="Y8908" s="6" t="s">
        <v>954</v>
      </c>
    </row>
    <row r="8909">
      <c r="Y8909" s="6" t="s">
        <v>954</v>
      </c>
    </row>
    <row r="8910">
      <c r="Y8910" s="6" t="s">
        <v>954</v>
      </c>
    </row>
    <row r="8911">
      <c r="Y8911" s="6" t="s">
        <v>954</v>
      </c>
    </row>
    <row r="8912">
      <c r="Y8912" s="6" t="s">
        <v>954</v>
      </c>
    </row>
    <row r="8913">
      <c r="Y8913" s="6" t="s">
        <v>954</v>
      </c>
    </row>
    <row r="8914">
      <c r="Y8914" s="6" t="s">
        <v>954</v>
      </c>
    </row>
    <row r="8915">
      <c r="Y8915" s="6" t="s">
        <v>954</v>
      </c>
    </row>
    <row r="8916">
      <c r="Y8916" s="6" t="s">
        <v>954</v>
      </c>
    </row>
    <row r="8917">
      <c r="Y8917" s="6" t="s">
        <v>954</v>
      </c>
    </row>
    <row r="8918">
      <c r="Y8918" s="6" t="s">
        <v>954</v>
      </c>
    </row>
    <row r="8919">
      <c r="Y8919" s="6" t="s">
        <v>954</v>
      </c>
    </row>
    <row r="8920">
      <c r="Y8920" s="6" t="s">
        <v>954</v>
      </c>
    </row>
    <row r="8921">
      <c r="Y8921" s="6" t="s">
        <v>954</v>
      </c>
    </row>
    <row r="8922">
      <c r="Y8922" s="6" t="s">
        <v>954</v>
      </c>
    </row>
    <row r="8923">
      <c r="Y8923" s="6" t="s">
        <v>954</v>
      </c>
    </row>
    <row r="8924">
      <c r="Y8924" s="6" t="s">
        <v>954</v>
      </c>
    </row>
    <row r="8925">
      <c r="Y8925" s="6" t="s">
        <v>954</v>
      </c>
    </row>
    <row r="8926">
      <c r="Y8926" s="6" t="s">
        <v>954</v>
      </c>
    </row>
    <row r="8927">
      <c r="Y8927" s="6" t="s">
        <v>954</v>
      </c>
    </row>
    <row r="8928">
      <c r="Y8928" s="6" t="s">
        <v>954</v>
      </c>
    </row>
    <row r="8929">
      <c r="Y8929" s="6" t="s">
        <v>954</v>
      </c>
    </row>
    <row r="8930">
      <c r="Y8930" s="6" t="s">
        <v>954</v>
      </c>
    </row>
    <row r="8931">
      <c r="Y8931" s="6" t="s">
        <v>954</v>
      </c>
    </row>
    <row r="8932">
      <c r="Y8932" s="6" t="s">
        <v>954</v>
      </c>
    </row>
    <row r="8933">
      <c r="Y8933" s="6" t="s">
        <v>954</v>
      </c>
    </row>
    <row r="8934">
      <c r="Y8934" s="6" t="s">
        <v>954</v>
      </c>
    </row>
    <row r="8935">
      <c r="Y8935" s="6" t="s">
        <v>954</v>
      </c>
    </row>
    <row r="8936">
      <c r="Y8936" s="6" t="s">
        <v>954</v>
      </c>
    </row>
    <row r="8937">
      <c r="Y8937" s="6" t="s">
        <v>954</v>
      </c>
    </row>
    <row r="8938">
      <c r="Y8938" s="6" t="s">
        <v>954</v>
      </c>
    </row>
    <row r="8939">
      <c r="Y8939" s="6" t="s">
        <v>954</v>
      </c>
    </row>
    <row r="8940">
      <c r="Y8940" s="6" t="s">
        <v>954</v>
      </c>
    </row>
    <row r="8941">
      <c r="Y8941" s="6" t="s">
        <v>954</v>
      </c>
    </row>
    <row r="8942">
      <c r="Y8942" s="6" t="s">
        <v>954</v>
      </c>
    </row>
    <row r="8943">
      <c r="Y8943" s="6" t="s">
        <v>954</v>
      </c>
    </row>
    <row r="8944">
      <c r="Y8944" s="6" t="s">
        <v>954</v>
      </c>
    </row>
    <row r="8945">
      <c r="Y8945" s="6" t="s">
        <v>954</v>
      </c>
    </row>
    <row r="8946">
      <c r="Y8946" s="6" t="s">
        <v>954</v>
      </c>
    </row>
    <row r="8947">
      <c r="Y8947" s="6" t="s">
        <v>954</v>
      </c>
    </row>
    <row r="8948">
      <c r="Y8948" s="6" t="s">
        <v>954</v>
      </c>
    </row>
    <row r="8949">
      <c r="Y8949" s="6" t="s">
        <v>954</v>
      </c>
    </row>
    <row r="8950">
      <c r="Y8950" s="6" t="s">
        <v>954</v>
      </c>
    </row>
    <row r="8951">
      <c r="Y8951" s="6" t="s">
        <v>954</v>
      </c>
    </row>
    <row r="8952">
      <c r="Y8952" s="6" t="s">
        <v>954</v>
      </c>
    </row>
    <row r="8953">
      <c r="Y8953" s="6" t="s">
        <v>954</v>
      </c>
    </row>
    <row r="8954">
      <c r="Y8954" s="6" t="s">
        <v>954</v>
      </c>
    </row>
    <row r="8955">
      <c r="Y8955" s="6" t="s">
        <v>954</v>
      </c>
    </row>
    <row r="8956">
      <c r="Y8956" s="6" t="s">
        <v>954</v>
      </c>
    </row>
    <row r="8957">
      <c r="Y8957" s="6" t="s">
        <v>954</v>
      </c>
    </row>
    <row r="8958">
      <c r="Y8958" s="6" t="s">
        <v>954</v>
      </c>
    </row>
    <row r="8959">
      <c r="Y8959" s="6" t="s">
        <v>954</v>
      </c>
    </row>
    <row r="8960">
      <c r="Y8960" s="6" t="s">
        <v>954</v>
      </c>
    </row>
    <row r="8961">
      <c r="Y8961" s="6" t="s">
        <v>954</v>
      </c>
    </row>
    <row r="8962">
      <c r="Y8962" s="6" t="s">
        <v>954</v>
      </c>
    </row>
    <row r="8963">
      <c r="Y8963" s="6" t="s">
        <v>954</v>
      </c>
    </row>
    <row r="8964">
      <c r="Y8964" s="6" t="s">
        <v>954</v>
      </c>
    </row>
    <row r="8965">
      <c r="Y8965" s="6" t="s">
        <v>954</v>
      </c>
    </row>
    <row r="8966">
      <c r="Y8966" s="6" t="s">
        <v>954</v>
      </c>
    </row>
    <row r="8967">
      <c r="Y8967" s="6" t="s">
        <v>954</v>
      </c>
    </row>
    <row r="8968">
      <c r="Y8968" s="6" t="s">
        <v>954</v>
      </c>
    </row>
    <row r="8969">
      <c r="Y8969" s="6" t="s">
        <v>954</v>
      </c>
    </row>
    <row r="8970">
      <c r="Y8970" s="6" t="s">
        <v>954</v>
      </c>
    </row>
    <row r="8971">
      <c r="Y8971" s="6" t="s">
        <v>954</v>
      </c>
    </row>
    <row r="8972">
      <c r="Y8972" s="6" t="s">
        <v>954</v>
      </c>
    </row>
    <row r="8973">
      <c r="Y8973" s="6" t="s">
        <v>954</v>
      </c>
    </row>
    <row r="8974">
      <c r="Y8974" s="6" t="s">
        <v>954</v>
      </c>
    </row>
    <row r="8975">
      <c r="Y8975" s="6" t="s">
        <v>954</v>
      </c>
    </row>
    <row r="8976">
      <c r="Y8976" s="6" t="s">
        <v>954</v>
      </c>
    </row>
    <row r="8977">
      <c r="Y8977" s="6" t="s">
        <v>954</v>
      </c>
    </row>
    <row r="8978">
      <c r="Y8978" s="6" t="s">
        <v>954</v>
      </c>
    </row>
    <row r="8979">
      <c r="Y8979" s="6" t="s">
        <v>954</v>
      </c>
    </row>
    <row r="8980">
      <c r="Y8980" s="6" t="s">
        <v>954</v>
      </c>
    </row>
    <row r="8981">
      <c r="Y8981" s="6" t="s">
        <v>954</v>
      </c>
    </row>
    <row r="8982">
      <c r="Y8982" s="6" t="s">
        <v>954</v>
      </c>
    </row>
    <row r="8983">
      <c r="Y8983" s="6" t="s">
        <v>954</v>
      </c>
    </row>
    <row r="8984">
      <c r="Y8984" s="6" t="s">
        <v>954</v>
      </c>
    </row>
    <row r="8985">
      <c r="Y8985" s="6" t="s">
        <v>954</v>
      </c>
    </row>
    <row r="8986">
      <c r="Y8986" s="6" t="s">
        <v>954</v>
      </c>
    </row>
    <row r="8987">
      <c r="Y8987" s="6" t="s">
        <v>954</v>
      </c>
    </row>
    <row r="8988">
      <c r="Y8988" s="6" t="s">
        <v>954</v>
      </c>
    </row>
    <row r="8989">
      <c r="Y8989" s="6" t="s">
        <v>954</v>
      </c>
    </row>
    <row r="8990">
      <c r="Y8990" s="6" t="s">
        <v>954</v>
      </c>
    </row>
    <row r="8991">
      <c r="Y8991" s="6" t="s">
        <v>954</v>
      </c>
    </row>
    <row r="8992">
      <c r="Y8992" s="6" t="s">
        <v>954</v>
      </c>
    </row>
    <row r="8993">
      <c r="Y8993" s="6" t="s">
        <v>954</v>
      </c>
    </row>
    <row r="8994">
      <c r="Y8994" s="6" t="s">
        <v>954</v>
      </c>
    </row>
    <row r="8995">
      <c r="Y8995" s="6" t="s">
        <v>954</v>
      </c>
    </row>
    <row r="8996">
      <c r="Y8996" s="6" t="s">
        <v>954</v>
      </c>
    </row>
    <row r="8997">
      <c r="Y8997" s="6" t="s">
        <v>954</v>
      </c>
    </row>
    <row r="8998">
      <c r="Y8998" s="6" t="s">
        <v>954</v>
      </c>
    </row>
    <row r="8999">
      <c r="Y8999" s="6" t="s">
        <v>954</v>
      </c>
    </row>
    <row r="9000">
      <c r="Y9000" s="6" t="s">
        <v>954</v>
      </c>
    </row>
    <row r="9001">
      <c r="Y9001" s="6" t="s">
        <v>954</v>
      </c>
    </row>
    <row r="9002">
      <c r="Y9002" s="6" t="s">
        <v>954</v>
      </c>
    </row>
    <row r="9003">
      <c r="Y9003" s="6" t="s">
        <v>954</v>
      </c>
    </row>
    <row r="9004">
      <c r="Y9004" s="6" t="s">
        <v>954</v>
      </c>
    </row>
    <row r="9005">
      <c r="Y9005" s="6" t="s">
        <v>954</v>
      </c>
    </row>
    <row r="9006">
      <c r="Y9006" s="6" t="s">
        <v>954</v>
      </c>
    </row>
    <row r="9007">
      <c r="Y9007" s="6" t="s">
        <v>954</v>
      </c>
    </row>
    <row r="9008">
      <c r="Y9008" s="6" t="s">
        <v>954</v>
      </c>
    </row>
    <row r="9009">
      <c r="Y9009" s="6" t="s">
        <v>954</v>
      </c>
    </row>
    <row r="9010">
      <c r="Y9010" s="6" t="s">
        <v>954</v>
      </c>
    </row>
    <row r="9011">
      <c r="Y9011" s="6" t="s">
        <v>954</v>
      </c>
    </row>
    <row r="9012">
      <c r="Y9012" s="6" t="s">
        <v>954</v>
      </c>
    </row>
    <row r="9013">
      <c r="Y9013" s="6" t="s">
        <v>954</v>
      </c>
    </row>
    <row r="9014">
      <c r="Y9014" s="6" t="s">
        <v>954</v>
      </c>
    </row>
    <row r="9015">
      <c r="Y9015" s="6" t="s">
        <v>954</v>
      </c>
    </row>
    <row r="9016">
      <c r="Y9016" s="6" t="s">
        <v>954</v>
      </c>
    </row>
    <row r="9017">
      <c r="Y9017" s="6" t="s">
        <v>954</v>
      </c>
    </row>
    <row r="9018">
      <c r="Y9018" s="6" t="s">
        <v>954</v>
      </c>
    </row>
    <row r="9019">
      <c r="Y9019" s="6" t="s">
        <v>954</v>
      </c>
    </row>
    <row r="9020">
      <c r="Y9020" s="6" t="s">
        <v>954</v>
      </c>
    </row>
    <row r="9021">
      <c r="Y9021" s="6" t="s">
        <v>954</v>
      </c>
    </row>
    <row r="9022">
      <c r="Y9022" s="6" t="s">
        <v>954</v>
      </c>
    </row>
    <row r="9023">
      <c r="Y9023" s="6" t="s">
        <v>954</v>
      </c>
    </row>
    <row r="9024">
      <c r="Y9024" s="6" t="s">
        <v>954</v>
      </c>
    </row>
    <row r="9025">
      <c r="Y9025" s="6" t="s">
        <v>954</v>
      </c>
    </row>
    <row r="9026">
      <c r="Y9026" s="6" t="s">
        <v>954</v>
      </c>
    </row>
    <row r="9027">
      <c r="Y9027" s="6" t="s">
        <v>954</v>
      </c>
    </row>
    <row r="9028">
      <c r="Y9028" s="6" t="s">
        <v>954</v>
      </c>
    </row>
    <row r="9029">
      <c r="Y9029" s="6" t="s">
        <v>954</v>
      </c>
    </row>
    <row r="9030">
      <c r="Y9030" s="6" t="s">
        <v>954</v>
      </c>
    </row>
    <row r="9031">
      <c r="Y9031" s="6" t="s">
        <v>954</v>
      </c>
    </row>
    <row r="9032">
      <c r="Y9032" s="6" t="s">
        <v>954</v>
      </c>
    </row>
    <row r="9033">
      <c r="Y9033" s="6" t="s">
        <v>954</v>
      </c>
    </row>
    <row r="9034">
      <c r="Y9034" s="6" t="s">
        <v>954</v>
      </c>
    </row>
    <row r="9035">
      <c r="Y9035" s="6" t="s">
        <v>954</v>
      </c>
    </row>
    <row r="9036">
      <c r="Y9036" s="6" t="s">
        <v>954</v>
      </c>
    </row>
    <row r="9037">
      <c r="Y9037" s="6" t="s">
        <v>954</v>
      </c>
    </row>
    <row r="9038">
      <c r="Y9038" s="6" t="s">
        <v>954</v>
      </c>
    </row>
    <row r="9039">
      <c r="Y9039" s="6" t="s">
        <v>954</v>
      </c>
    </row>
    <row r="9040">
      <c r="Y9040" s="6" t="s">
        <v>954</v>
      </c>
    </row>
    <row r="9041">
      <c r="Y9041" s="6" t="s">
        <v>954</v>
      </c>
    </row>
    <row r="9042">
      <c r="Y9042" s="6" t="s">
        <v>954</v>
      </c>
    </row>
    <row r="9043">
      <c r="Y9043" s="6" t="s">
        <v>954</v>
      </c>
    </row>
    <row r="9044">
      <c r="Y9044" s="6" t="s">
        <v>954</v>
      </c>
    </row>
    <row r="9045">
      <c r="Y9045" s="6" t="s">
        <v>954</v>
      </c>
    </row>
    <row r="9046">
      <c r="Y9046" s="6" t="s">
        <v>954</v>
      </c>
    </row>
    <row r="9047">
      <c r="Y9047" s="6" t="s">
        <v>954</v>
      </c>
    </row>
    <row r="9048">
      <c r="Y9048" s="6" t="s">
        <v>954</v>
      </c>
    </row>
    <row r="9049">
      <c r="Y9049" s="6" t="s">
        <v>954</v>
      </c>
    </row>
    <row r="9050">
      <c r="Y9050" s="6" t="s">
        <v>954</v>
      </c>
    </row>
    <row r="9051">
      <c r="Y9051" s="6" t="s">
        <v>954</v>
      </c>
    </row>
    <row r="9052">
      <c r="Y9052" s="6" t="s">
        <v>954</v>
      </c>
    </row>
    <row r="9053">
      <c r="Y9053" s="6" t="s">
        <v>954</v>
      </c>
    </row>
    <row r="9054">
      <c r="Y9054" s="6" t="s">
        <v>954</v>
      </c>
    </row>
    <row r="9055">
      <c r="Y9055" s="6" t="s">
        <v>954</v>
      </c>
    </row>
    <row r="9056">
      <c r="Y9056" s="6" t="s">
        <v>954</v>
      </c>
    </row>
    <row r="9057">
      <c r="Y9057" s="6" t="s">
        <v>954</v>
      </c>
    </row>
    <row r="9058">
      <c r="Y9058" s="6" t="s">
        <v>954</v>
      </c>
    </row>
    <row r="9059">
      <c r="Y9059" s="6" t="s">
        <v>954</v>
      </c>
    </row>
    <row r="9060">
      <c r="Y9060" s="6" t="s">
        <v>954</v>
      </c>
    </row>
    <row r="9061">
      <c r="Y9061" s="6" t="s">
        <v>954</v>
      </c>
    </row>
    <row r="9062">
      <c r="Y9062" s="6" t="s">
        <v>954</v>
      </c>
    </row>
    <row r="9063">
      <c r="Y9063" s="6" t="s">
        <v>954</v>
      </c>
    </row>
    <row r="9064">
      <c r="Y9064" s="6" t="s">
        <v>954</v>
      </c>
    </row>
    <row r="9065">
      <c r="Y9065" s="6" t="s">
        <v>954</v>
      </c>
    </row>
    <row r="9066">
      <c r="Y9066" s="6" t="s">
        <v>954</v>
      </c>
    </row>
    <row r="9067">
      <c r="Y9067" s="6" t="s">
        <v>954</v>
      </c>
    </row>
    <row r="9068">
      <c r="Y9068" s="6" t="s">
        <v>954</v>
      </c>
    </row>
    <row r="9069">
      <c r="Y9069" s="6" t="s">
        <v>954</v>
      </c>
    </row>
    <row r="9070">
      <c r="Y9070" s="6" t="s">
        <v>954</v>
      </c>
    </row>
    <row r="9071">
      <c r="Y9071" s="6" t="s">
        <v>954</v>
      </c>
    </row>
    <row r="9072">
      <c r="Y9072" s="6" t="s">
        <v>954</v>
      </c>
    </row>
    <row r="9073">
      <c r="Y9073" s="6" t="s">
        <v>954</v>
      </c>
    </row>
    <row r="9074">
      <c r="Y9074" s="6" t="s">
        <v>954</v>
      </c>
    </row>
    <row r="9075">
      <c r="Y9075" s="6" t="s">
        <v>954</v>
      </c>
    </row>
    <row r="9076">
      <c r="Y9076" s="6" t="s">
        <v>954</v>
      </c>
    </row>
    <row r="9077">
      <c r="Y9077" s="6" t="s">
        <v>954</v>
      </c>
    </row>
    <row r="9078">
      <c r="Y9078" s="6" t="s">
        <v>954</v>
      </c>
    </row>
    <row r="9079">
      <c r="Y9079" s="6" t="s">
        <v>954</v>
      </c>
    </row>
    <row r="9080">
      <c r="Y9080" s="6" t="s">
        <v>954</v>
      </c>
    </row>
    <row r="9081">
      <c r="Y9081" s="6" t="s">
        <v>954</v>
      </c>
    </row>
    <row r="9082">
      <c r="Y9082" s="6" t="s">
        <v>954</v>
      </c>
    </row>
    <row r="9083">
      <c r="Y9083" s="6" t="s">
        <v>954</v>
      </c>
    </row>
    <row r="9084">
      <c r="Y9084" s="6" t="s">
        <v>954</v>
      </c>
    </row>
    <row r="9085">
      <c r="Y9085" s="6" t="s">
        <v>954</v>
      </c>
    </row>
    <row r="9086">
      <c r="Y9086" s="6" t="s">
        <v>954</v>
      </c>
    </row>
    <row r="9087">
      <c r="Y9087" s="6" t="s">
        <v>954</v>
      </c>
    </row>
    <row r="9088">
      <c r="Y9088" s="6" t="s">
        <v>954</v>
      </c>
    </row>
    <row r="9089">
      <c r="Y9089" s="6" t="s">
        <v>954</v>
      </c>
    </row>
    <row r="9090">
      <c r="Y9090" s="6" t="s">
        <v>954</v>
      </c>
    </row>
    <row r="9091">
      <c r="Y9091" s="6" t="s">
        <v>954</v>
      </c>
    </row>
    <row r="9092">
      <c r="Y9092" s="6" t="s">
        <v>954</v>
      </c>
    </row>
    <row r="9093">
      <c r="Y9093" s="6" t="s">
        <v>954</v>
      </c>
    </row>
    <row r="9094">
      <c r="Y9094" s="6" t="s">
        <v>954</v>
      </c>
    </row>
    <row r="9095">
      <c r="Y9095" s="6" t="s">
        <v>954</v>
      </c>
    </row>
    <row r="9096">
      <c r="Y9096" s="6" t="s">
        <v>954</v>
      </c>
    </row>
    <row r="9097">
      <c r="Y9097" s="6" t="s">
        <v>954</v>
      </c>
    </row>
    <row r="9098">
      <c r="Y9098" s="6" t="s">
        <v>954</v>
      </c>
    </row>
    <row r="9099">
      <c r="Y9099" s="6" t="s">
        <v>954</v>
      </c>
    </row>
    <row r="9100">
      <c r="Y9100" s="6" t="s">
        <v>954</v>
      </c>
    </row>
    <row r="9101">
      <c r="Y9101" s="6" t="s">
        <v>954</v>
      </c>
    </row>
    <row r="9102">
      <c r="Y9102" s="6" t="s">
        <v>954</v>
      </c>
    </row>
    <row r="9103">
      <c r="Y9103" s="6" t="s">
        <v>954</v>
      </c>
    </row>
    <row r="9104">
      <c r="Y9104" s="6" t="s">
        <v>954</v>
      </c>
    </row>
    <row r="9105">
      <c r="Y9105" s="6" t="s">
        <v>954</v>
      </c>
    </row>
    <row r="9106">
      <c r="Y9106" s="6" t="s">
        <v>954</v>
      </c>
    </row>
    <row r="9107">
      <c r="Y9107" s="6" t="s">
        <v>954</v>
      </c>
    </row>
    <row r="9108">
      <c r="Y9108" s="6" t="s">
        <v>954</v>
      </c>
    </row>
    <row r="9109">
      <c r="Y9109" s="6" t="s">
        <v>954</v>
      </c>
    </row>
    <row r="9110">
      <c r="Y9110" s="6" t="s">
        <v>954</v>
      </c>
    </row>
    <row r="9111">
      <c r="Y9111" s="6" t="s">
        <v>954</v>
      </c>
    </row>
    <row r="9112">
      <c r="Y9112" s="6" t="s">
        <v>954</v>
      </c>
    </row>
    <row r="9113">
      <c r="Y9113" s="6" t="s">
        <v>954</v>
      </c>
    </row>
    <row r="9114">
      <c r="Y9114" s="6" t="s">
        <v>954</v>
      </c>
    </row>
    <row r="9115">
      <c r="Y9115" s="6" t="s">
        <v>954</v>
      </c>
    </row>
    <row r="9116">
      <c r="Y9116" s="6" t="s">
        <v>954</v>
      </c>
    </row>
    <row r="9117">
      <c r="Y9117" s="6" t="s">
        <v>954</v>
      </c>
    </row>
    <row r="9118">
      <c r="Y9118" s="6" t="s">
        <v>954</v>
      </c>
    </row>
    <row r="9119">
      <c r="Y9119" s="6" t="s">
        <v>954</v>
      </c>
    </row>
    <row r="9120">
      <c r="Y9120" s="6" t="s">
        <v>954</v>
      </c>
    </row>
    <row r="9121">
      <c r="Y9121" s="6" t="s">
        <v>954</v>
      </c>
    </row>
    <row r="9122">
      <c r="Y9122" s="6" t="s">
        <v>954</v>
      </c>
    </row>
    <row r="9123">
      <c r="Y9123" s="6" t="s">
        <v>954</v>
      </c>
    </row>
    <row r="9124">
      <c r="Y9124" s="6" t="s">
        <v>954</v>
      </c>
    </row>
    <row r="9125">
      <c r="Y9125" s="6" t="s">
        <v>954</v>
      </c>
    </row>
    <row r="9126">
      <c r="Y9126" s="6" t="s">
        <v>954</v>
      </c>
    </row>
    <row r="9127">
      <c r="Y9127" s="6" t="s">
        <v>954</v>
      </c>
    </row>
    <row r="9128">
      <c r="Y9128" s="6" t="s">
        <v>954</v>
      </c>
    </row>
    <row r="9129">
      <c r="Y9129" s="6" t="s">
        <v>954</v>
      </c>
    </row>
    <row r="9130">
      <c r="Y9130" s="6" t="s">
        <v>954</v>
      </c>
    </row>
    <row r="9131">
      <c r="Y9131" s="6" t="s">
        <v>954</v>
      </c>
    </row>
    <row r="9132">
      <c r="Y9132" s="6" t="s">
        <v>954</v>
      </c>
    </row>
    <row r="9133">
      <c r="Y9133" s="6" t="s">
        <v>954</v>
      </c>
    </row>
    <row r="9134">
      <c r="Y9134" s="6" t="s">
        <v>954</v>
      </c>
    </row>
    <row r="9135">
      <c r="Y9135" s="6" t="s">
        <v>954</v>
      </c>
    </row>
    <row r="9136">
      <c r="Y9136" s="6" t="s">
        <v>954</v>
      </c>
    </row>
    <row r="9137">
      <c r="Y9137" s="6" t="s">
        <v>954</v>
      </c>
    </row>
    <row r="9138">
      <c r="Y9138" s="6" t="s">
        <v>954</v>
      </c>
    </row>
    <row r="9139">
      <c r="Y9139" s="6" t="s">
        <v>954</v>
      </c>
    </row>
    <row r="9140">
      <c r="Y9140" s="6" t="s">
        <v>954</v>
      </c>
    </row>
    <row r="9141">
      <c r="Y9141" s="6" t="s">
        <v>954</v>
      </c>
    </row>
    <row r="9142">
      <c r="Y9142" s="6" t="s">
        <v>954</v>
      </c>
    </row>
    <row r="9143">
      <c r="Y9143" s="6" t="s">
        <v>954</v>
      </c>
    </row>
    <row r="9144">
      <c r="Y9144" s="6" t="s">
        <v>954</v>
      </c>
    </row>
    <row r="9145">
      <c r="Y9145" s="6" t="s">
        <v>954</v>
      </c>
    </row>
    <row r="9146">
      <c r="Y9146" s="6" t="s">
        <v>954</v>
      </c>
    </row>
    <row r="9147">
      <c r="Y9147" s="6" t="s">
        <v>954</v>
      </c>
    </row>
    <row r="9148">
      <c r="Y9148" s="6" t="s">
        <v>954</v>
      </c>
    </row>
    <row r="9149">
      <c r="Y9149" s="6" t="s">
        <v>954</v>
      </c>
    </row>
    <row r="9150">
      <c r="Y9150" s="6" t="s">
        <v>954</v>
      </c>
    </row>
    <row r="9151">
      <c r="Y9151" s="6" t="s">
        <v>954</v>
      </c>
    </row>
    <row r="9152">
      <c r="Y9152" s="6" t="s">
        <v>954</v>
      </c>
    </row>
    <row r="9153">
      <c r="Y9153" s="6" t="s">
        <v>954</v>
      </c>
    </row>
    <row r="9154">
      <c r="Y9154" s="6" t="s">
        <v>954</v>
      </c>
    </row>
    <row r="9155">
      <c r="Y9155" s="6" t="s">
        <v>954</v>
      </c>
    </row>
    <row r="9156">
      <c r="Y9156" s="6" t="s">
        <v>954</v>
      </c>
    </row>
    <row r="9157">
      <c r="Y9157" s="6" t="s">
        <v>954</v>
      </c>
    </row>
    <row r="9158">
      <c r="Y9158" s="6" t="s">
        <v>954</v>
      </c>
    </row>
    <row r="9159">
      <c r="Y9159" s="6" t="s">
        <v>954</v>
      </c>
    </row>
    <row r="9160">
      <c r="Y9160" s="6" t="s">
        <v>954</v>
      </c>
    </row>
    <row r="9161">
      <c r="Y9161" s="6" t="s">
        <v>954</v>
      </c>
    </row>
    <row r="9162">
      <c r="Y9162" s="6" t="s">
        <v>954</v>
      </c>
    </row>
    <row r="9163">
      <c r="Y9163" s="6" t="s">
        <v>954</v>
      </c>
    </row>
    <row r="9164">
      <c r="Y9164" s="6" t="s">
        <v>954</v>
      </c>
    </row>
    <row r="9165">
      <c r="Y9165" s="6" t="s">
        <v>954</v>
      </c>
    </row>
    <row r="9166">
      <c r="Y9166" s="6" t="s">
        <v>954</v>
      </c>
    </row>
    <row r="9167">
      <c r="Y9167" s="6" t="s">
        <v>954</v>
      </c>
    </row>
    <row r="9168">
      <c r="Y9168" s="6" t="s">
        <v>954</v>
      </c>
    </row>
    <row r="9169">
      <c r="Y9169" s="6" t="s">
        <v>954</v>
      </c>
    </row>
    <row r="9170">
      <c r="Y9170" s="6" t="s">
        <v>954</v>
      </c>
    </row>
    <row r="9171">
      <c r="Y9171" s="6" t="s">
        <v>954</v>
      </c>
    </row>
    <row r="9172">
      <c r="Y9172" s="6" t="s">
        <v>954</v>
      </c>
    </row>
    <row r="9173">
      <c r="Y9173" s="6" t="s">
        <v>954</v>
      </c>
    </row>
    <row r="9174">
      <c r="Y9174" s="6" t="s">
        <v>954</v>
      </c>
    </row>
    <row r="9175">
      <c r="Y9175" s="6" t="s">
        <v>954</v>
      </c>
    </row>
    <row r="9176">
      <c r="Y9176" s="6" t="s">
        <v>954</v>
      </c>
    </row>
    <row r="9177">
      <c r="Y9177" s="6" t="s">
        <v>954</v>
      </c>
    </row>
    <row r="9178">
      <c r="Y9178" s="6" t="s">
        <v>954</v>
      </c>
    </row>
    <row r="9179">
      <c r="Y9179" s="6" t="s">
        <v>954</v>
      </c>
    </row>
    <row r="9180">
      <c r="Y9180" s="6" t="s">
        <v>954</v>
      </c>
    </row>
    <row r="9181">
      <c r="Y9181" s="6" t="s">
        <v>954</v>
      </c>
    </row>
    <row r="9182">
      <c r="Y9182" s="6" t="s">
        <v>954</v>
      </c>
    </row>
    <row r="9183">
      <c r="Y9183" s="6" t="s">
        <v>954</v>
      </c>
    </row>
    <row r="9184">
      <c r="Y9184" s="6" t="s">
        <v>954</v>
      </c>
    </row>
    <row r="9185">
      <c r="Y9185" s="6" t="s">
        <v>954</v>
      </c>
    </row>
    <row r="9186">
      <c r="Y9186" s="6" t="s">
        <v>954</v>
      </c>
    </row>
    <row r="9187">
      <c r="Y9187" s="6" t="s">
        <v>954</v>
      </c>
    </row>
    <row r="9188">
      <c r="Y9188" s="6" t="s">
        <v>954</v>
      </c>
    </row>
    <row r="9189">
      <c r="Y9189" s="6" t="s">
        <v>954</v>
      </c>
    </row>
    <row r="9190">
      <c r="Y9190" s="6" t="s">
        <v>954</v>
      </c>
    </row>
    <row r="9191">
      <c r="Y9191" s="6" t="s">
        <v>954</v>
      </c>
    </row>
    <row r="9192">
      <c r="Y9192" s="6" t="s">
        <v>954</v>
      </c>
    </row>
    <row r="9193">
      <c r="Y9193" s="6" t="s">
        <v>954</v>
      </c>
    </row>
    <row r="9194">
      <c r="Y9194" s="6" t="s">
        <v>954</v>
      </c>
    </row>
    <row r="9195">
      <c r="Y9195" s="6" t="s">
        <v>954</v>
      </c>
    </row>
    <row r="9196">
      <c r="Y9196" s="6" t="s">
        <v>954</v>
      </c>
    </row>
    <row r="9197">
      <c r="Y9197" s="6" t="s">
        <v>954</v>
      </c>
    </row>
    <row r="9198">
      <c r="Y9198" s="6" t="s">
        <v>954</v>
      </c>
    </row>
    <row r="9199">
      <c r="Y9199" s="6" t="s">
        <v>954</v>
      </c>
    </row>
    <row r="9200">
      <c r="Y9200" s="6" t="s">
        <v>954</v>
      </c>
    </row>
    <row r="9201">
      <c r="Y9201" s="6" t="s">
        <v>954</v>
      </c>
    </row>
    <row r="9202">
      <c r="Y9202" s="6" t="s">
        <v>954</v>
      </c>
    </row>
    <row r="9203">
      <c r="Y9203" s="6" t="s">
        <v>954</v>
      </c>
    </row>
    <row r="9204">
      <c r="Y9204" s="6" t="s">
        <v>954</v>
      </c>
    </row>
    <row r="9205">
      <c r="Y9205" s="6" t="s">
        <v>954</v>
      </c>
    </row>
    <row r="9206">
      <c r="Y9206" s="6" t="s">
        <v>954</v>
      </c>
    </row>
    <row r="9207">
      <c r="Y9207" s="6" t="s">
        <v>954</v>
      </c>
    </row>
    <row r="9208">
      <c r="Y9208" s="6" t="s">
        <v>954</v>
      </c>
    </row>
    <row r="9209">
      <c r="Y9209" s="6" t="s">
        <v>954</v>
      </c>
    </row>
    <row r="9210">
      <c r="Y9210" s="6" t="s">
        <v>954</v>
      </c>
    </row>
    <row r="9211">
      <c r="Y9211" s="6" t="s">
        <v>954</v>
      </c>
    </row>
    <row r="9212">
      <c r="Y9212" s="6" t="s">
        <v>954</v>
      </c>
    </row>
    <row r="9213">
      <c r="Y9213" s="6" t="s">
        <v>954</v>
      </c>
    </row>
    <row r="9214">
      <c r="Y9214" s="6" t="s">
        <v>954</v>
      </c>
    </row>
    <row r="9215">
      <c r="Y9215" s="6" t="s">
        <v>954</v>
      </c>
    </row>
    <row r="9216">
      <c r="Y9216" s="6" t="s">
        <v>954</v>
      </c>
    </row>
    <row r="9217">
      <c r="Y9217" s="6" t="s">
        <v>954</v>
      </c>
    </row>
    <row r="9218">
      <c r="Y9218" s="6" t="s">
        <v>954</v>
      </c>
    </row>
    <row r="9219">
      <c r="Y9219" s="6" t="s">
        <v>954</v>
      </c>
    </row>
    <row r="9220">
      <c r="Y9220" s="6" t="s">
        <v>954</v>
      </c>
    </row>
    <row r="9221">
      <c r="Y9221" s="6" t="s">
        <v>954</v>
      </c>
    </row>
    <row r="9222">
      <c r="Y9222" s="6" t="s">
        <v>954</v>
      </c>
    </row>
    <row r="9223">
      <c r="Y9223" s="6" t="s">
        <v>954</v>
      </c>
    </row>
    <row r="9224">
      <c r="Y9224" s="6" t="s">
        <v>954</v>
      </c>
    </row>
    <row r="9225">
      <c r="Y9225" s="6" t="s">
        <v>954</v>
      </c>
    </row>
    <row r="9226">
      <c r="Y9226" s="6" t="s">
        <v>954</v>
      </c>
    </row>
    <row r="9227">
      <c r="Y9227" s="6" t="s">
        <v>954</v>
      </c>
    </row>
    <row r="9228">
      <c r="Y9228" s="6" t="s">
        <v>954</v>
      </c>
    </row>
    <row r="9229">
      <c r="Y9229" s="6" t="s">
        <v>954</v>
      </c>
    </row>
    <row r="9230">
      <c r="Y9230" s="6" t="s">
        <v>954</v>
      </c>
    </row>
    <row r="9231">
      <c r="Y9231" s="6" t="s">
        <v>954</v>
      </c>
    </row>
    <row r="9232">
      <c r="Y9232" s="6" t="s">
        <v>954</v>
      </c>
    </row>
    <row r="9233">
      <c r="Y9233" s="6" t="s">
        <v>954</v>
      </c>
    </row>
    <row r="9234">
      <c r="Y9234" s="6" t="s">
        <v>954</v>
      </c>
    </row>
    <row r="9235">
      <c r="Y9235" s="6" t="s">
        <v>954</v>
      </c>
    </row>
    <row r="9236">
      <c r="Y9236" s="6" t="s">
        <v>954</v>
      </c>
    </row>
    <row r="9237">
      <c r="Y9237" s="6" t="s">
        <v>954</v>
      </c>
    </row>
    <row r="9238">
      <c r="Y9238" s="6" t="s">
        <v>954</v>
      </c>
    </row>
    <row r="9239">
      <c r="Y9239" s="6" t="s">
        <v>954</v>
      </c>
    </row>
    <row r="9240">
      <c r="Y9240" s="6" t="s">
        <v>954</v>
      </c>
    </row>
    <row r="9241">
      <c r="Y9241" s="6" t="s">
        <v>954</v>
      </c>
    </row>
    <row r="9242">
      <c r="Y9242" s="6" t="s">
        <v>954</v>
      </c>
    </row>
    <row r="9243">
      <c r="Y9243" s="6" t="s">
        <v>954</v>
      </c>
    </row>
    <row r="9244">
      <c r="Y9244" s="6" t="s">
        <v>954</v>
      </c>
    </row>
    <row r="9245">
      <c r="Y9245" s="6" t="s">
        <v>954</v>
      </c>
    </row>
    <row r="9246">
      <c r="Y9246" s="6" t="s">
        <v>954</v>
      </c>
    </row>
    <row r="9247">
      <c r="Y9247" s="6" t="s">
        <v>954</v>
      </c>
    </row>
    <row r="9248">
      <c r="Y9248" s="6" t="s">
        <v>954</v>
      </c>
    </row>
    <row r="9249">
      <c r="Y9249" s="6" t="s">
        <v>954</v>
      </c>
    </row>
    <row r="9250">
      <c r="Y9250" s="6" t="s">
        <v>954</v>
      </c>
    </row>
    <row r="9251">
      <c r="Y9251" s="6" t="s">
        <v>954</v>
      </c>
    </row>
    <row r="9252">
      <c r="Y9252" s="6" t="s">
        <v>954</v>
      </c>
    </row>
    <row r="9253">
      <c r="Y9253" s="6" t="s">
        <v>954</v>
      </c>
    </row>
    <row r="9254">
      <c r="Y9254" s="6" t="s">
        <v>954</v>
      </c>
    </row>
    <row r="9255">
      <c r="Y9255" s="6" t="s">
        <v>954</v>
      </c>
    </row>
    <row r="9256">
      <c r="Y9256" s="6" t="s">
        <v>954</v>
      </c>
    </row>
    <row r="9257">
      <c r="Y9257" s="6" t="s">
        <v>954</v>
      </c>
    </row>
    <row r="9258">
      <c r="Y9258" s="6" t="s">
        <v>954</v>
      </c>
    </row>
    <row r="9259">
      <c r="Y9259" s="6" t="s">
        <v>954</v>
      </c>
    </row>
    <row r="9260">
      <c r="Y9260" s="6" t="s">
        <v>954</v>
      </c>
    </row>
    <row r="9261">
      <c r="Y9261" s="6" t="s">
        <v>954</v>
      </c>
    </row>
    <row r="9262">
      <c r="Y9262" s="6" t="s">
        <v>954</v>
      </c>
    </row>
    <row r="9263">
      <c r="Y9263" s="6" t="s">
        <v>954</v>
      </c>
    </row>
    <row r="9264">
      <c r="Y9264" s="6" t="s">
        <v>954</v>
      </c>
    </row>
    <row r="9265">
      <c r="Y9265" s="6" t="s">
        <v>954</v>
      </c>
    </row>
    <row r="9266">
      <c r="Y9266" s="6" t="s">
        <v>954</v>
      </c>
    </row>
    <row r="9267">
      <c r="Y9267" s="6" t="s">
        <v>954</v>
      </c>
    </row>
    <row r="9268">
      <c r="Y9268" s="6" t="s">
        <v>954</v>
      </c>
    </row>
    <row r="9269">
      <c r="Y9269" s="6" t="s">
        <v>954</v>
      </c>
    </row>
    <row r="9270">
      <c r="Y9270" s="6" t="s">
        <v>954</v>
      </c>
    </row>
    <row r="9271">
      <c r="Y9271" s="6" t="s">
        <v>954</v>
      </c>
    </row>
    <row r="9272">
      <c r="Y9272" s="6" t="s">
        <v>954</v>
      </c>
    </row>
    <row r="9273">
      <c r="Y9273" s="6" t="s">
        <v>954</v>
      </c>
    </row>
    <row r="9274">
      <c r="Y9274" s="6" t="s">
        <v>954</v>
      </c>
    </row>
    <row r="9275">
      <c r="Y9275" s="6" t="s">
        <v>954</v>
      </c>
    </row>
    <row r="9276">
      <c r="Y9276" s="6" t="s">
        <v>954</v>
      </c>
    </row>
    <row r="9277">
      <c r="Y9277" s="6" t="s">
        <v>954</v>
      </c>
    </row>
    <row r="9278">
      <c r="Y9278" s="6" t="s">
        <v>954</v>
      </c>
    </row>
    <row r="9279">
      <c r="Y9279" s="6" t="s">
        <v>954</v>
      </c>
    </row>
    <row r="9280">
      <c r="Y9280" s="6" t="s">
        <v>954</v>
      </c>
    </row>
    <row r="9281">
      <c r="Y9281" s="6" t="s">
        <v>954</v>
      </c>
    </row>
    <row r="9282">
      <c r="Y9282" s="6" t="s">
        <v>954</v>
      </c>
    </row>
    <row r="9283">
      <c r="Y9283" s="6" t="s">
        <v>954</v>
      </c>
    </row>
    <row r="9284">
      <c r="Y9284" s="6" t="s">
        <v>954</v>
      </c>
    </row>
    <row r="9285">
      <c r="Y9285" s="6" t="s">
        <v>954</v>
      </c>
    </row>
    <row r="9286">
      <c r="Y9286" s="6" t="s">
        <v>954</v>
      </c>
    </row>
    <row r="9287">
      <c r="Y9287" s="6" t="s">
        <v>954</v>
      </c>
    </row>
    <row r="9288">
      <c r="Y9288" s="6" t="s">
        <v>954</v>
      </c>
    </row>
    <row r="9289">
      <c r="Y9289" s="6" t="s">
        <v>954</v>
      </c>
    </row>
    <row r="9290">
      <c r="Y9290" s="6" t="s">
        <v>954</v>
      </c>
    </row>
    <row r="9291">
      <c r="Y9291" s="6" t="s">
        <v>954</v>
      </c>
    </row>
    <row r="9292">
      <c r="Y9292" s="6" t="s">
        <v>954</v>
      </c>
    </row>
    <row r="9293">
      <c r="Y9293" s="6" t="s">
        <v>954</v>
      </c>
    </row>
    <row r="9294">
      <c r="Y9294" s="6" t="s">
        <v>954</v>
      </c>
    </row>
    <row r="9295">
      <c r="Y9295" s="6" t="s">
        <v>954</v>
      </c>
    </row>
    <row r="9296">
      <c r="Y9296" s="6" t="s">
        <v>954</v>
      </c>
    </row>
    <row r="9297">
      <c r="Y9297" s="6" t="s">
        <v>954</v>
      </c>
    </row>
    <row r="9298">
      <c r="Y9298" s="6" t="s">
        <v>954</v>
      </c>
    </row>
    <row r="9299">
      <c r="Y9299" s="6" t="s">
        <v>954</v>
      </c>
    </row>
    <row r="9300">
      <c r="Y9300" s="6" t="s">
        <v>954</v>
      </c>
    </row>
    <row r="9301">
      <c r="Y9301" s="6" t="s">
        <v>954</v>
      </c>
    </row>
    <row r="9302">
      <c r="Y9302" s="6" t="s">
        <v>954</v>
      </c>
    </row>
    <row r="9303">
      <c r="Y9303" s="6" t="s">
        <v>954</v>
      </c>
    </row>
    <row r="9304">
      <c r="Y9304" s="6" t="s">
        <v>954</v>
      </c>
    </row>
    <row r="9305">
      <c r="Y9305" s="6" t="s">
        <v>954</v>
      </c>
    </row>
    <row r="9306">
      <c r="Y9306" s="6" t="s">
        <v>954</v>
      </c>
    </row>
    <row r="9307">
      <c r="Y9307" s="6" t="s">
        <v>954</v>
      </c>
    </row>
    <row r="9308">
      <c r="Y9308" s="6" t="s">
        <v>954</v>
      </c>
    </row>
    <row r="9309">
      <c r="Y9309" s="6" t="s">
        <v>954</v>
      </c>
    </row>
    <row r="9310">
      <c r="Y9310" s="6" t="s">
        <v>954</v>
      </c>
    </row>
    <row r="9311">
      <c r="Y9311" s="6" t="s">
        <v>954</v>
      </c>
    </row>
    <row r="9312">
      <c r="Y9312" s="6" t="s">
        <v>954</v>
      </c>
    </row>
    <row r="9313">
      <c r="Y9313" s="6" t="s">
        <v>954</v>
      </c>
    </row>
    <row r="9314">
      <c r="Y9314" s="6" t="s">
        <v>954</v>
      </c>
    </row>
    <row r="9315">
      <c r="Y9315" s="6" t="s">
        <v>954</v>
      </c>
    </row>
    <row r="9316">
      <c r="Y9316" s="6" t="s">
        <v>954</v>
      </c>
    </row>
    <row r="9317">
      <c r="Y9317" s="6" t="s">
        <v>954</v>
      </c>
    </row>
    <row r="9318">
      <c r="Y9318" s="6" t="s">
        <v>954</v>
      </c>
    </row>
    <row r="9319">
      <c r="Y9319" s="6" t="s">
        <v>954</v>
      </c>
    </row>
    <row r="9320">
      <c r="Y9320" s="6" t="s">
        <v>954</v>
      </c>
    </row>
    <row r="9321">
      <c r="Y9321" s="6" t="s">
        <v>954</v>
      </c>
    </row>
    <row r="9322">
      <c r="Y9322" s="6" t="s">
        <v>954</v>
      </c>
    </row>
    <row r="9323">
      <c r="Y9323" s="6" t="s">
        <v>954</v>
      </c>
    </row>
    <row r="9324">
      <c r="Y9324" s="6" t="s">
        <v>954</v>
      </c>
    </row>
    <row r="9325">
      <c r="Y9325" s="6" t="s">
        <v>954</v>
      </c>
    </row>
    <row r="9326">
      <c r="Y9326" s="6" t="s">
        <v>954</v>
      </c>
    </row>
    <row r="9327">
      <c r="Y9327" s="6" t="s">
        <v>954</v>
      </c>
    </row>
    <row r="9328">
      <c r="Y9328" s="6" t="s">
        <v>954</v>
      </c>
    </row>
    <row r="9329">
      <c r="Y9329" s="6" t="s">
        <v>954</v>
      </c>
    </row>
    <row r="9330">
      <c r="Y9330" s="6" t="s">
        <v>954</v>
      </c>
    </row>
    <row r="9331">
      <c r="Y9331" s="6" t="s">
        <v>954</v>
      </c>
    </row>
    <row r="9332">
      <c r="Y9332" s="6" t="s">
        <v>954</v>
      </c>
    </row>
    <row r="9333">
      <c r="Y9333" s="6" t="s">
        <v>954</v>
      </c>
    </row>
    <row r="9334">
      <c r="Y9334" s="6" t="s">
        <v>954</v>
      </c>
    </row>
    <row r="9335">
      <c r="Y9335" s="6" t="s">
        <v>954</v>
      </c>
    </row>
    <row r="9336">
      <c r="Y9336" s="6" t="s">
        <v>954</v>
      </c>
    </row>
    <row r="9337">
      <c r="Y9337" s="6" t="s">
        <v>954</v>
      </c>
    </row>
    <row r="9338">
      <c r="Y9338" s="6" t="s">
        <v>954</v>
      </c>
    </row>
    <row r="9339">
      <c r="Y9339" s="6" t="s">
        <v>954</v>
      </c>
    </row>
    <row r="9340">
      <c r="Y9340" s="6" t="s">
        <v>954</v>
      </c>
    </row>
    <row r="9341">
      <c r="Y9341" s="6" t="s">
        <v>954</v>
      </c>
    </row>
    <row r="9342">
      <c r="Y9342" s="6" t="s">
        <v>954</v>
      </c>
    </row>
    <row r="9343">
      <c r="Y9343" s="6" t="s">
        <v>954</v>
      </c>
    </row>
    <row r="9344">
      <c r="Y9344" s="6" t="s">
        <v>954</v>
      </c>
    </row>
    <row r="9345">
      <c r="Y9345" s="6" t="s">
        <v>954</v>
      </c>
    </row>
    <row r="9346">
      <c r="Y9346" s="6" t="s">
        <v>954</v>
      </c>
    </row>
    <row r="9347">
      <c r="Y9347" s="6" t="s">
        <v>954</v>
      </c>
    </row>
    <row r="9348">
      <c r="Y9348" s="6" t="s">
        <v>954</v>
      </c>
    </row>
    <row r="9349">
      <c r="Y9349" s="6" t="s">
        <v>954</v>
      </c>
    </row>
    <row r="9350">
      <c r="Y9350" s="6" t="s">
        <v>954</v>
      </c>
    </row>
    <row r="9351">
      <c r="Y9351" s="6" t="s">
        <v>954</v>
      </c>
    </row>
    <row r="9352">
      <c r="Y9352" s="6" t="s">
        <v>954</v>
      </c>
    </row>
    <row r="9353">
      <c r="Y9353" s="6" t="s">
        <v>954</v>
      </c>
    </row>
    <row r="9354">
      <c r="Y9354" s="6" t="s">
        <v>954</v>
      </c>
    </row>
    <row r="9355">
      <c r="Y9355" s="6" t="s">
        <v>954</v>
      </c>
    </row>
    <row r="9356">
      <c r="Y9356" s="6" t="s">
        <v>954</v>
      </c>
    </row>
    <row r="9357">
      <c r="Y9357" s="6" t="s">
        <v>954</v>
      </c>
    </row>
    <row r="9358">
      <c r="Y9358" s="6" t="s">
        <v>954</v>
      </c>
    </row>
    <row r="9359">
      <c r="Y9359" s="6" t="s">
        <v>954</v>
      </c>
    </row>
    <row r="9360">
      <c r="Y9360" s="6" t="s">
        <v>954</v>
      </c>
    </row>
    <row r="9361">
      <c r="Y9361" s="6" t="s">
        <v>954</v>
      </c>
    </row>
    <row r="9362">
      <c r="Y9362" s="6" t="s">
        <v>954</v>
      </c>
    </row>
    <row r="9363">
      <c r="Y9363" s="6" t="s">
        <v>954</v>
      </c>
    </row>
    <row r="9364">
      <c r="Y9364" s="6" t="s">
        <v>954</v>
      </c>
    </row>
    <row r="9365">
      <c r="Y9365" s="6" t="s">
        <v>954</v>
      </c>
    </row>
    <row r="9366">
      <c r="Y9366" s="6" t="s">
        <v>954</v>
      </c>
    </row>
    <row r="9367">
      <c r="Y9367" s="6" t="s">
        <v>954</v>
      </c>
    </row>
    <row r="9368">
      <c r="Y9368" s="6" t="s">
        <v>954</v>
      </c>
    </row>
    <row r="9369">
      <c r="Y9369" s="6" t="s">
        <v>954</v>
      </c>
    </row>
    <row r="9370">
      <c r="Y9370" s="6" t="s">
        <v>954</v>
      </c>
    </row>
    <row r="9371">
      <c r="Y9371" s="6" t="s">
        <v>954</v>
      </c>
    </row>
    <row r="9372">
      <c r="Y9372" s="6" t="s">
        <v>954</v>
      </c>
    </row>
    <row r="9373">
      <c r="Y9373" s="6" t="s">
        <v>954</v>
      </c>
    </row>
    <row r="9374">
      <c r="Y9374" s="6" t="s">
        <v>954</v>
      </c>
    </row>
    <row r="9375">
      <c r="Y9375" s="6" t="s">
        <v>954</v>
      </c>
    </row>
    <row r="9376">
      <c r="Y9376" s="6" t="s">
        <v>954</v>
      </c>
    </row>
    <row r="9377">
      <c r="Y9377" s="6" t="s">
        <v>954</v>
      </c>
    </row>
    <row r="9378">
      <c r="Y9378" s="6" t="s">
        <v>954</v>
      </c>
    </row>
    <row r="9379">
      <c r="Y9379" s="6" t="s">
        <v>954</v>
      </c>
    </row>
    <row r="9380">
      <c r="Y9380" s="6" t="s">
        <v>954</v>
      </c>
    </row>
    <row r="9381">
      <c r="Y9381" s="6" t="s">
        <v>954</v>
      </c>
    </row>
    <row r="9382">
      <c r="Y9382" s="6" t="s">
        <v>954</v>
      </c>
    </row>
    <row r="9383">
      <c r="Y9383" s="6" t="s">
        <v>954</v>
      </c>
    </row>
    <row r="9384">
      <c r="Y9384" s="6" t="s">
        <v>954</v>
      </c>
    </row>
    <row r="9385">
      <c r="Y9385" s="6" t="s">
        <v>954</v>
      </c>
    </row>
    <row r="9386">
      <c r="Y9386" s="6" t="s">
        <v>954</v>
      </c>
    </row>
    <row r="9387">
      <c r="Y9387" s="6" t="s">
        <v>954</v>
      </c>
    </row>
    <row r="9388">
      <c r="Y9388" s="6" t="s">
        <v>954</v>
      </c>
    </row>
    <row r="9389">
      <c r="Y9389" s="6" t="s">
        <v>954</v>
      </c>
    </row>
    <row r="9390">
      <c r="Y9390" s="6" t="s">
        <v>954</v>
      </c>
    </row>
    <row r="9391">
      <c r="Y9391" s="6" t="s">
        <v>954</v>
      </c>
    </row>
    <row r="9392">
      <c r="Y9392" s="6" t="s">
        <v>954</v>
      </c>
    </row>
    <row r="9393">
      <c r="Y9393" s="6" t="s">
        <v>954</v>
      </c>
    </row>
    <row r="9394">
      <c r="Y9394" s="6" t="s">
        <v>954</v>
      </c>
    </row>
    <row r="9395">
      <c r="Y9395" s="6" t="s">
        <v>954</v>
      </c>
    </row>
    <row r="9396">
      <c r="Y9396" s="6" t="s">
        <v>954</v>
      </c>
    </row>
    <row r="9397">
      <c r="Y9397" s="6" t="s">
        <v>954</v>
      </c>
    </row>
    <row r="9398">
      <c r="Y9398" s="6" t="s">
        <v>954</v>
      </c>
    </row>
    <row r="9399">
      <c r="Y9399" s="6" t="s">
        <v>954</v>
      </c>
    </row>
    <row r="9400">
      <c r="Y9400" s="6" t="s">
        <v>954</v>
      </c>
    </row>
    <row r="9401">
      <c r="Y9401" s="6" t="s">
        <v>954</v>
      </c>
    </row>
    <row r="9402">
      <c r="Y9402" s="6" t="s">
        <v>954</v>
      </c>
    </row>
    <row r="9403">
      <c r="Y9403" s="6" t="s">
        <v>954</v>
      </c>
    </row>
    <row r="9404">
      <c r="Y9404" s="6" t="s">
        <v>954</v>
      </c>
    </row>
    <row r="9405">
      <c r="Y9405" s="6" t="s">
        <v>954</v>
      </c>
    </row>
    <row r="9406">
      <c r="Y9406" s="6" t="s">
        <v>954</v>
      </c>
    </row>
    <row r="9407">
      <c r="Y9407" s="6" t="s">
        <v>954</v>
      </c>
    </row>
    <row r="9408">
      <c r="Y9408" s="6" t="s">
        <v>954</v>
      </c>
    </row>
    <row r="9409">
      <c r="Y9409" s="6" t="s">
        <v>954</v>
      </c>
    </row>
    <row r="9410">
      <c r="Y9410" s="6" t="s">
        <v>954</v>
      </c>
    </row>
    <row r="9411">
      <c r="Y9411" s="6" t="s">
        <v>954</v>
      </c>
    </row>
    <row r="9412">
      <c r="Y9412" s="6" t="s">
        <v>954</v>
      </c>
    </row>
    <row r="9413">
      <c r="Y9413" s="6" t="s">
        <v>954</v>
      </c>
    </row>
    <row r="9414">
      <c r="Y9414" s="6" t="s">
        <v>954</v>
      </c>
    </row>
    <row r="9415">
      <c r="Y9415" s="6" t="s">
        <v>954</v>
      </c>
    </row>
    <row r="9416">
      <c r="Y9416" s="6" t="s">
        <v>954</v>
      </c>
    </row>
    <row r="9417">
      <c r="Y9417" s="6" t="s">
        <v>954</v>
      </c>
    </row>
    <row r="9418">
      <c r="Y9418" s="6" t="s">
        <v>954</v>
      </c>
    </row>
    <row r="9419">
      <c r="Y9419" s="6" t="s">
        <v>954</v>
      </c>
    </row>
    <row r="9420">
      <c r="Y9420" s="6" t="s">
        <v>954</v>
      </c>
    </row>
    <row r="9421">
      <c r="Y9421" s="6" t="s">
        <v>954</v>
      </c>
    </row>
    <row r="9422">
      <c r="Y9422" s="6" t="s">
        <v>954</v>
      </c>
    </row>
    <row r="9423">
      <c r="Y9423" s="6" t="s">
        <v>954</v>
      </c>
    </row>
    <row r="9424">
      <c r="Y9424" s="6" t="s">
        <v>954</v>
      </c>
    </row>
    <row r="9425">
      <c r="Y9425" s="6" t="s">
        <v>954</v>
      </c>
    </row>
    <row r="9426">
      <c r="Y9426" s="6" t="s">
        <v>954</v>
      </c>
    </row>
    <row r="9427">
      <c r="Y9427" s="6" t="s">
        <v>954</v>
      </c>
    </row>
    <row r="9428">
      <c r="Y9428" s="6" t="s">
        <v>954</v>
      </c>
    </row>
    <row r="9429">
      <c r="Y9429" s="6" t="s">
        <v>954</v>
      </c>
    </row>
    <row r="9430">
      <c r="Y9430" s="6" t="s">
        <v>954</v>
      </c>
    </row>
    <row r="9431">
      <c r="Y9431" s="6" t="s">
        <v>954</v>
      </c>
    </row>
    <row r="9432">
      <c r="Y9432" s="6" t="s">
        <v>954</v>
      </c>
    </row>
    <row r="9433">
      <c r="Y9433" s="6" t="s">
        <v>954</v>
      </c>
    </row>
    <row r="9434">
      <c r="Y9434" s="6" t="s">
        <v>954</v>
      </c>
    </row>
    <row r="9435">
      <c r="Y9435" s="6" t="s">
        <v>954</v>
      </c>
    </row>
    <row r="9436">
      <c r="Y9436" s="6" t="s">
        <v>954</v>
      </c>
    </row>
    <row r="9437">
      <c r="Y9437" s="6" t="s">
        <v>954</v>
      </c>
    </row>
    <row r="9438">
      <c r="Y9438" s="6" t="s">
        <v>954</v>
      </c>
    </row>
    <row r="9439">
      <c r="Y9439" s="6" t="s">
        <v>954</v>
      </c>
    </row>
    <row r="9440">
      <c r="Y9440" s="6" t="s">
        <v>954</v>
      </c>
    </row>
    <row r="9441">
      <c r="Y9441" s="6" t="s">
        <v>954</v>
      </c>
    </row>
    <row r="9442">
      <c r="Y9442" s="6" t="s">
        <v>954</v>
      </c>
    </row>
    <row r="9443">
      <c r="Y9443" s="6" t="s">
        <v>954</v>
      </c>
    </row>
    <row r="9444">
      <c r="Y9444" s="6" t="s">
        <v>954</v>
      </c>
    </row>
    <row r="9445">
      <c r="Y9445" s="6" t="s">
        <v>954</v>
      </c>
    </row>
    <row r="9446">
      <c r="Y9446" s="6" t="s">
        <v>954</v>
      </c>
    </row>
    <row r="9447">
      <c r="Y9447" s="6" t="s">
        <v>954</v>
      </c>
    </row>
    <row r="9448">
      <c r="Y9448" s="6" t="s">
        <v>954</v>
      </c>
    </row>
    <row r="9449">
      <c r="Y9449" s="6" t="s">
        <v>954</v>
      </c>
    </row>
    <row r="9450">
      <c r="Y9450" s="6" t="s">
        <v>954</v>
      </c>
    </row>
    <row r="9451">
      <c r="Y9451" s="6" t="s">
        <v>954</v>
      </c>
    </row>
    <row r="9452">
      <c r="Y9452" s="6" t="s">
        <v>954</v>
      </c>
    </row>
    <row r="9453">
      <c r="Y9453" s="6" t="s">
        <v>954</v>
      </c>
    </row>
    <row r="9454">
      <c r="Y9454" s="6" t="s">
        <v>954</v>
      </c>
    </row>
    <row r="9455">
      <c r="Y9455" s="6" t="s">
        <v>954</v>
      </c>
    </row>
    <row r="9456">
      <c r="Y9456" s="6" t="s">
        <v>954</v>
      </c>
    </row>
    <row r="9457">
      <c r="Y9457" s="6" t="s">
        <v>954</v>
      </c>
    </row>
    <row r="9458">
      <c r="Y9458" s="6" t="s">
        <v>954</v>
      </c>
    </row>
    <row r="9459">
      <c r="Y9459" s="6" t="s">
        <v>954</v>
      </c>
    </row>
    <row r="9460">
      <c r="Y9460" s="6" t="s">
        <v>954</v>
      </c>
    </row>
    <row r="9461">
      <c r="Y9461" s="6" t="s">
        <v>954</v>
      </c>
    </row>
    <row r="9462">
      <c r="Y9462" s="6" t="s">
        <v>954</v>
      </c>
    </row>
    <row r="9463">
      <c r="Y9463" s="6" t="s">
        <v>954</v>
      </c>
    </row>
    <row r="9464">
      <c r="Y9464" s="6" t="s">
        <v>954</v>
      </c>
    </row>
    <row r="9465">
      <c r="Y9465" s="6" t="s">
        <v>954</v>
      </c>
    </row>
    <row r="9466">
      <c r="Y9466" s="6" t="s">
        <v>954</v>
      </c>
    </row>
    <row r="9467">
      <c r="Y9467" s="6" t="s">
        <v>954</v>
      </c>
    </row>
    <row r="9468">
      <c r="Y9468" s="6" t="s">
        <v>954</v>
      </c>
    </row>
    <row r="9469">
      <c r="Y9469" s="6" t="s">
        <v>954</v>
      </c>
    </row>
    <row r="9470">
      <c r="Y9470" s="6" t="s">
        <v>954</v>
      </c>
    </row>
    <row r="9471">
      <c r="Y9471" s="6" t="s">
        <v>954</v>
      </c>
    </row>
    <row r="9472">
      <c r="Y9472" s="6" t="s">
        <v>954</v>
      </c>
    </row>
    <row r="9473">
      <c r="Y9473" s="6" t="s">
        <v>954</v>
      </c>
    </row>
    <row r="9474">
      <c r="Y9474" s="6" t="s">
        <v>954</v>
      </c>
    </row>
    <row r="9475">
      <c r="Y9475" s="6" t="s">
        <v>954</v>
      </c>
    </row>
    <row r="9476">
      <c r="Y9476" s="6" t="s">
        <v>954</v>
      </c>
    </row>
    <row r="9477">
      <c r="Y9477" s="6" t="s">
        <v>954</v>
      </c>
    </row>
    <row r="9478">
      <c r="Y9478" s="6" t="s">
        <v>954</v>
      </c>
    </row>
    <row r="9479">
      <c r="Y9479" s="6" t="s">
        <v>954</v>
      </c>
    </row>
    <row r="9480">
      <c r="Y9480" s="6" t="s">
        <v>954</v>
      </c>
    </row>
    <row r="9481">
      <c r="Y9481" s="6" t="s">
        <v>954</v>
      </c>
    </row>
    <row r="9482">
      <c r="Y9482" s="6" t="s">
        <v>954</v>
      </c>
    </row>
    <row r="9483">
      <c r="Y9483" s="6" t="s">
        <v>954</v>
      </c>
    </row>
    <row r="9484">
      <c r="Y9484" s="6" t="s">
        <v>954</v>
      </c>
    </row>
    <row r="9485">
      <c r="Y9485" s="6" t="s">
        <v>954</v>
      </c>
    </row>
    <row r="9486">
      <c r="Y9486" s="6" t="s">
        <v>954</v>
      </c>
    </row>
    <row r="9487">
      <c r="Y9487" s="6" t="s">
        <v>954</v>
      </c>
    </row>
    <row r="9488">
      <c r="Y9488" s="6" t="s">
        <v>954</v>
      </c>
    </row>
    <row r="9489">
      <c r="Y9489" s="6" t="s">
        <v>954</v>
      </c>
    </row>
    <row r="9490">
      <c r="Y9490" s="6" t="s">
        <v>954</v>
      </c>
    </row>
    <row r="9491">
      <c r="Y9491" s="6" t="s">
        <v>954</v>
      </c>
    </row>
    <row r="9492">
      <c r="Y9492" s="6" t="s">
        <v>954</v>
      </c>
    </row>
    <row r="9493">
      <c r="Y9493" s="6" t="s">
        <v>954</v>
      </c>
    </row>
    <row r="9494">
      <c r="Y9494" s="6" t="s">
        <v>954</v>
      </c>
    </row>
    <row r="9495">
      <c r="Y9495" s="6" t="s">
        <v>954</v>
      </c>
    </row>
    <row r="9496">
      <c r="Y9496" s="6" t="s">
        <v>954</v>
      </c>
    </row>
    <row r="9497">
      <c r="Y9497" s="6" t="s">
        <v>954</v>
      </c>
    </row>
    <row r="9498">
      <c r="Y9498" s="6" t="s">
        <v>954</v>
      </c>
    </row>
    <row r="9499">
      <c r="Y9499" s="6" t="s">
        <v>954</v>
      </c>
    </row>
    <row r="9500">
      <c r="Y9500" s="6" t="s">
        <v>954</v>
      </c>
    </row>
    <row r="9501">
      <c r="Y9501" s="6" t="s">
        <v>954</v>
      </c>
    </row>
    <row r="9502">
      <c r="Y9502" s="6" t="s">
        <v>954</v>
      </c>
    </row>
    <row r="9503">
      <c r="Y9503" s="6" t="s">
        <v>954</v>
      </c>
    </row>
    <row r="9504">
      <c r="Y9504" s="6" t="s">
        <v>954</v>
      </c>
    </row>
    <row r="9505">
      <c r="Y9505" s="6" t="s">
        <v>954</v>
      </c>
    </row>
    <row r="9506">
      <c r="Y9506" s="6" t="s">
        <v>954</v>
      </c>
    </row>
    <row r="9507">
      <c r="Y9507" s="6" t="s">
        <v>954</v>
      </c>
    </row>
    <row r="9508">
      <c r="Y9508" s="6" t="s">
        <v>954</v>
      </c>
    </row>
    <row r="9509">
      <c r="Y9509" s="6" t="s">
        <v>954</v>
      </c>
    </row>
    <row r="9510">
      <c r="Y9510" s="6" t="s">
        <v>954</v>
      </c>
    </row>
    <row r="9511">
      <c r="Y9511" s="6" t="s">
        <v>954</v>
      </c>
    </row>
    <row r="9512">
      <c r="Y9512" s="6" t="s">
        <v>954</v>
      </c>
    </row>
    <row r="9513">
      <c r="Y9513" s="6" t="s">
        <v>954</v>
      </c>
    </row>
    <row r="9514">
      <c r="Y9514" s="6" t="s">
        <v>954</v>
      </c>
    </row>
    <row r="9515">
      <c r="Y9515" s="6" t="s">
        <v>954</v>
      </c>
    </row>
    <row r="9516">
      <c r="Y9516" s="6" t="s">
        <v>954</v>
      </c>
    </row>
    <row r="9517">
      <c r="Y9517" s="6" t="s">
        <v>954</v>
      </c>
    </row>
    <row r="9518">
      <c r="Y9518" s="6" t="s">
        <v>954</v>
      </c>
    </row>
    <row r="9519">
      <c r="Y9519" s="6" t="s">
        <v>954</v>
      </c>
    </row>
    <row r="9520">
      <c r="Y9520" s="6" t="s">
        <v>954</v>
      </c>
    </row>
    <row r="9521">
      <c r="Y9521" s="6" t="s">
        <v>954</v>
      </c>
    </row>
    <row r="9522">
      <c r="Y9522" s="6" t="s">
        <v>954</v>
      </c>
    </row>
    <row r="9523">
      <c r="Y9523" s="6" t="s">
        <v>954</v>
      </c>
    </row>
    <row r="9524">
      <c r="Y9524" s="6" t="s">
        <v>954</v>
      </c>
    </row>
    <row r="9525">
      <c r="Y9525" s="6" t="s">
        <v>954</v>
      </c>
    </row>
    <row r="9526">
      <c r="Y9526" s="6" t="s">
        <v>954</v>
      </c>
    </row>
    <row r="9527">
      <c r="Y9527" s="6" t="s">
        <v>954</v>
      </c>
    </row>
    <row r="9528">
      <c r="Y9528" s="6" t="s">
        <v>954</v>
      </c>
    </row>
    <row r="9529">
      <c r="Y9529" s="6" t="s">
        <v>954</v>
      </c>
    </row>
    <row r="9530">
      <c r="Y9530" s="6" t="s">
        <v>954</v>
      </c>
    </row>
    <row r="9531">
      <c r="Y9531" s="6" t="s">
        <v>954</v>
      </c>
    </row>
    <row r="9532">
      <c r="Y9532" s="6" t="s">
        <v>954</v>
      </c>
    </row>
    <row r="9533">
      <c r="Y9533" s="6" t="s">
        <v>954</v>
      </c>
    </row>
    <row r="9534">
      <c r="Y9534" s="6" t="s">
        <v>954</v>
      </c>
    </row>
    <row r="9535">
      <c r="Y9535" s="6" t="s">
        <v>954</v>
      </c>
    </row>
    <row r="9536">
      <c r="Y9536" s="6" t="s">
        <v>954</v>
      </c>
    </row>
    <row r="9537">
      <c r="Y9537" s="6" t="s">
        <v>954</v>
      </c>
    </row>
    <row r="9538">
      <c r="Y9538" s="6" t="s">
        <v>954</v>
      </c>
    </row>
    <row r="9539">
      <c r="Y9539" s="6" t="s">
        <v>954</v>
      </c>
    </row>
    <row r="9540">
      <c r="Y9540" s="6" t="s">
        <v>954</v>
      </c>
    </row>
    <row r="9541">
      <c r="Y9541" s="6" t="s">
        <v>954</v>
      </c>
    </row>
    <row r="9542">
      <c r="Y9542" s="6" t="s">
        <v>954</v>
      </c>
    </row>
    <row r="9543">
      <c r="Y9543" s="6" t="s">
        <v>954</v>
      </c>
    </row>
    <row r="9544">
      <c r="Y9544" s="6" t="s">
        <v>954</v>
      </c>
    </row>
    <row r="9545">
      <c r="Y9545" s="6" t="s">
        <v>954</v>
      </c>
    </row>
    <row r="9546">
      <c r="Y9546" s="6" t="s">
        <v>954</v>
      </c>
    </row>
    <row r="9547">
      <c r="Y9547" s="6" t="s">
        <v>954</v>
      </c>
    </row>
    <row r="9548">
      <c r="Y9548" s="6" t="s">
        <v>954</v>
      </c>
    </row>
    <row r="9549">
      <c r="Y9549" s="6" t="s">
        <v>954</v>
      </c>
    </row>
    <row r="9550">
      <c r="Y9550" s="6" t="s">
        <v>954</v>
      </c>
    </row>
    <row r="9551">
      <c r="Y9551" s="6" t="s">
        <v>954</v>
      </c>
    </row>
    <row r="9552">
      <c r="Y9552" s="6" t="s">
        <v>954</v>
      </c>
    </row>
    <row r="9553">
      <c r="Y9553" s="6" t="s">
        <v>954</v>
      </c>
    </row>
    <row r="9554">
      <c r="Y9554" s="6" t="s">
        <v>954</v>
      </c>
    </row>
    <row r="9555">
      <c r="Y9555" s="6" t="s">
        <v>954</v>
      </c>
    </row>
    <row r="9556">
      <c r="Y9556" s="6" t="s">
        <v>954</v>
      </c>
    </row>
    <row r="9557">
      <c r="Y9557" s="6" t="s">
        <v>954</v>
      </c>
    </row>
    <row r="9558">
      <c r="Y9558" s="6" t="s">
        <v>954</v>
      </c>
    </row>
    <row r="9559">
      <c r="Y9559" s="6" t="s">
        <v>954</v>
      </c>
    </row>
    <row r="9560">
      <c r="Y9560" s="6" t="s">
        <v>954</v>
      </c>
    </row>
    <row r="9561">
      <c r="Y9561" s="6" t="s">
        <v>954</v>
      </c>
    </row>
    <row r="9562">
      <c r="Y9562" s="6" t="s">
        <v>954</v>
      </c>
    </row>
    <row r="9563">
      <c r="Y9563" s="6" t="s">
        <v>954</v>
      </c>
    </row>
    <row r="9564">
      <c r="Y9564" s="6" t="s">
        <v>954</v>
      </c>
    </row>
    <row r="9565">
      <c r="Y9565" s="6" t="s">
        <v>954</v>
      </c>
    </row>
    <row r="9566">
      <c r="Y9566" s="6" t="s">
        <v>954</v>
      </c>
    </row>
    <row r="9567">
      <c r="Y9567" s="6" t="s">
        <v>954</v>
      </c>
    </row>
    <row r="9568">
      <c r="Y9568" s="6" t="s">
        <v>954</v>
      </c>
    </row>
    <row r="9569">
      <c r="Y9569" s="6" t="s">
        <v>954</v>
      </c>
    </row>
    <row r="9570">
      <c r="Y9570" s="6" t="s">
        <v>954</v>
      </c>
    </row>
    <row r="9571">
      <c r="Y9571" s="6" t="s">
        <v>954</v>
      </c>
    </row>
    <row r="9572">
      <c r="Y9572" s="6" t="s">
        <v>954</v>
      </c>
    </row>
    <row r="9573">
      <c r="Y9573" s="6" t="s">
        <v>954</v>
      </c>
    </row>
    <row r="9574">
      <c r="Y9574" s="6" t="s">
        <v>954</v>
      </c>
    </row>
    <row r="9575">
      <c r="Y9575" s="6" t="s">
        <v>954</v>
      </c>
    </row>
    <row r="9576">
      <c r="Y9576" s="6" t="s">
        <v>954</v>
      </c>
    </row>
    <row r="9577">
      <c r="Y9577" s="6" t="s">
        <v>954</v>
      </c>
    </row>
    <row r="9578">
      <c r="Y9578" s="6" t="s">
        <v>954</v>
      </c>
    </row>
    <row r="9579">
      <c r="Y9579" s="6" t="s">
        <v>954</v>
      </c>
    </row>
    <row r="9580">
      <c r="Y9580" s="6" t="s">
        <v>954</v>
      </c>
    </row>
    <row r="9581">
      <c r="Y9581" s="6" t="s">
        <v>954</v>
      </c>
    </row>
    <row r="9582">
      <c r="Y9582" s="6" t="s">
        <v>954</v>
      </c>
    </row>
    <row r="9583">
      <c r="Y9583" s="6" t="s">
        <v>954</v>
      </c>
    </row>
    <row r="9584">
      <c r="Y9584" s="6" t="s">
        <v>954</v>
      </c>
    </row>
    <row r="9585">
      <c r="Y9585" s="6" t="s">
        <v>954</v>
      </c>
    </row>
    <row r="9586">
      <c r="Y9586" s="6" t="s">
        <v>954</v>
      </c>
    </row>
    <row r="9587">
      <c r="Y9587" s="6" t="s">
        <v>954</v>
      </c>
    </row>
    <row r="9588">
      <c r="Y9588" s="6" t="s">
        <v>954</v>
      </c>
    </row>
    <row r="9589">
      <c r="Y9589" s="6" t="s">
        <v>954</v>
      </c>
    </row>
    <row r="9590">
      <c r="Y9590" s="6" t="s">
        <v>954</v>
      </c>
    </row>
    <row r="9591">
      <c r="Y9591" s="6" t="s">
        <v>954</v>
      </c>
    </row>
    <row r="9592">
      <c r="Y9592" s="6" t="s">
        <v>954</v>
      </c>
    </row>
    <row r="9593">
      <c r="Y9593" s="6" t="s">
        <v>954</v>
      </c>
    </row>
    <row r="9594">
      <c r="Y9594" s="6" t="s">
        <v>954</v>
      </c>
    </row>
    <row r="9595">
      <c r="Y9595" s="6" t="s">
        <v>954</v>
      </c>
    </row>
    <row r="9596">
      <c r="Y9596" s="6" t="s">
        <v>954</v>
      </c>
    </row>
    <row r="9597">
      <c r="Y9597" s="6" t="s">
        <v>954</v>
      </c>
    </row>
    <row r="9598">
      <c r="Y9598" s="6" t="s">
        <v>954</v>
      </c>
    </row>
    <row r="9599">
      <c r="Y9599" s="6" t="s">
        <v>954</v>
      </c>
    </row>
    <row r="9600">
      <c r="Y9600" s="6" t="s">
        <v>954</v>
      </c>
    </row>
    <row r="9601">
      <c r="Y9601" s="6" t="s">
        <v>954</v>
      </c>
    </row>
    <row r="9602">
      <c r="Y9602" s="6" t="s">
        <v>954</v>
      </c>
    </row>
    <row r="9603">
      <c r="Y9603" s="6" t="s">
        <v>954</v>
      </c>
    </row>
    <row r="9604">
      <c r="Y9604" s="6" t="s">
        <v>954</v>
      </c>
    </row>
    <row r="9605">
      <c r="Y9605" s="6" t="s">
        <v>954</v>
      </c>
    </row>
    <row r="9606">
      <c r="Y9606" s="6" t="s">
        <v>954</v>
      </c>
    </row>
    <row r="9607">
      <c r="Y9607" s="6" t="s">
        <v>954</v>
      </c>
    </row>
    <row r="9608">
      <c r="Y9608" s="6" t="s">
        <v>954</v>
      </c>
    </row>
    <row r="9609">
      <c r="Y9609" s="6" t="s">
        <v>954</v>
      </c>
    </row>
    <row r="9610">
      <c r="Y9610" s="6" t="s">
        <v>954</v>
      </c>
    </row>
    <row r="9611">
      <c r="Y9611" s="6" t="s">
        <v>954</v>
      </c>
    </row>
    <row r="9612">
      <c r="Y9612" s="6" t="s">
        <v>954</v>
      </c>
    </row>
    <row r="9613">
      <c r="Y9613" s="6" t="s">
        <v>954</v>
      </c>
    </row>
    <row r="9614">
      <c r="Y9614" s="6" t="s">
        <v>954</v>
      </c>
    </row>
    <row r="9615">
      <c r="Y9615" s="6" t="s">
        <v>954</v>
      </c>
    </row>
    <row r="9616">
      <c r="Y9616" s="6" t="s">
        <v>954</v>
      </c>
    </row>
    <row r="9617">
      <c r="Y9617" s="6" t="s">
        <v>954</v>
      </c>
    </row>
    <row r="9618">
      <c r="Y9618" s="6" t="s">
        <v>954</v>
      </c>
    </row>
    <row r="9619">
      <c r="Y9619" s="6" t="s">
        <v>954</v>
      </c>
    </row>
    <row r="9620">
      <c r="Y9620" s="6" t="s">
        <v>954</v>
      </c>
    </row>
    <row r="9621">
      <c r="Y9621" s="6" t="s">
        <v>954</v>
      </c>
    </row>
    <row r="9622">
      <c r="Y9622" s="6" t="s">
        <v>954</v>
      </c>
    </row>
    <row r="9623">
      <c r="Y9623" s="6" t="s">
        <v>954</v>
      </c>
    </row>
    <row r="9624">
      <c r="Y9624" s="6" t="s">
        <v>954</v>
      </c>
    </row>
    <row r="9625">
      <c r="Y9625" s="6" t="s">
        <v>954</v>
      </c>
    </row>
    <row r="9626">
      <c r="Y9626" s="6" t="s">
        <v>954</v>
      </c>
    </row>
    <row r="9627">
      <c r="Y9627" s="6" t="s">
        <v>954</v>
      </c>
    </row>
    <row r="9628">
      <c r="Y9628" s="6" t="s">
        <v>954</v>
      </c>
    </row>
    <row r="9629">
      <c r="Y9629" s="6" t="s">
        <v>954</v>
      </c>
    </row>
    <row r="9630">
      <c r="Y9630" s="6" t="s">
        <v>954</v>
      </c>
    </row>
    <row r="9631">
      <c r="Y9631" s="6" t="s">
        <v>954</v>
      </c>
    </row>
    <row r="9632">
      <c r="Y9632" s="6" t="s">
        <v>954</v>
      </c>
    </row>
    <row r="9633">
      <c r="Y9633" s="6" t="s">
        <v>954</v>
      </c>
    </row>
    <row r="9634">
      <c r="Y9634" s="6" t="s">
        <v>954</v>
      </c>
    </row>
    <row r="9635">
      <c r="Y9635" s="6" t="s">
        <v>954</v>
      </c>
    </row>
    <row r="9636">
      <c r="Y9636" s="6" t="s">
        <v>954</v>
      </c>
    </row>
    <row r="9637">
      <c r="Y9637" s="6" t="s">
        <v>954</v>
      </c>
    </row>
    <row r="9638">
      <c r="Y9638" s="6" t="s">
        <v>954</v>
      </c>
    </row>
    <row r="9639">
      <c r="Y9639" s="6" t="s">
        <v>954</v>
      </c>
    </row>
    <row r="9640">
      <c r="Y9640" s="6" t="s">
        <v>954</v>
      </c>
    </row>
    <row r="9641">
      <c r="Y9641" s="6" t="s">
        <v>954</v>
      </c>
    </row>
    <row r="9642">
      <c r="Y9642" s="6" t="s">
        <v>954</v>
      </c>
    </row>
    <row r="9643">
      <c r="Y9643" s="6" t="s">
        <v>954</v>
      </c>
    </row>
    <row r="9644">
      <c r="Y9644" s="6" t="s">
        <v>954</v>
      </c>
    </row>
    <row r="9645">
      <c r="Y9645" s="6" t="s">
        <v>954</v>
      </c>
    </row>
    <row r="9646">
      <c r="Y9646" s="6" t="s">
        <v>954</v>
      </c>
    </row>
    <row r="9647">
      <c r="Y9647" s="6" t="s">
        <v>954</v>
      </c>
    </row>
    <row r="9648">
      <c r="Y9648" s="6" t="s">
        <v>954</v>
      </c>
    </row>
    <row r="9649">
      <c r="Y9649" s="6" t="s">
        <v>954</v>
      </c>
    </row>
    <row r="9650">
      <c r="Y9650" s="6" t="s">
        <v>954</v>
      </c>
    </row>
    <row r="9651">
      <c r="Y9651" s="6" t="s">
        <v>954</v>
      </c>
    </row>
    <row r="9652">
      <c r="Y9652" s="6" t="s">
        <v>954</v>
      </c>
    </row>
    <row r="9653">
      <c r="Y9653" s="6" t="s">
        <v>954</v>
      </c>
    </row>
    <row r="9654">
      <c r="Y9654" s="6" t="s">
        <v>954</v>
      </c>
    </row>
    <row r="9655">
      <c r="Y9655" s="6" t="s">
        <v>954</v>
      </c>
    </row>
    <row r="9656">
      <c r="Y9656" s="6" t="s">
        <v>954</v>
      </c>
    </row>
    <row r="9657">
      <c r="Y9657" s="6" t="s">
        <v>954</v>
      </c>
    </row>
    <row r="9658">
      <c r="Y9658" s="6" t="s">
        <v>954</v>
      </c>
    </row>
    <row r="9659">
      <c r="Y9659" s="6" t="s">
        <v>954</v>
      </c>
    </row>
    <row r="9660">
      <c r="Y9660" s="6" t="s">
        <v>954</v>
      </c>
    </row>
    <row r="9661">
      <c r="Y9661" s="6" t="s">
        <v>954</v>
      </c>
    </row>
    <row r="9662">
      <c r="Y9662" s="6" t="s">
        <v>954</v>
      </c>
    </row>
    <row r="9663">
      <c r="Y9663" s="6" t="s">
        <v>954</v>
      </c>
    </row>
    <row r="9664">
      <c r="Y9664" s="6" t="s">
        <v>954</v>
      </c>
    </row>
    <row r="9665">
      <c r="Y9665" s="6" t="s">
        <v>954</v>
      </c>
    </row>
    <row r="9666">
      <c r="Y9666" s="6" t="s">
        <v>954</v>
      </c>
    </row>
    <row r="9667">
      <c r="Y9667" s="6" t="s">
        <v>954</v>
      </c>
    </row>
    <row r="9668">
      <c r="Y9668" s="6" t="s">
        <v>954</v>
      </c>
    </row>
    <row r="9669">
      <c r="Y9669" s="6" t="s">
        <v>954</v>
      </c>
    </row>
    <row r="9670">
      <c r="Y9670" s="6" t="s">
        <v>954</v>
      </c>
    </row>
    <row r="9671">
      <c r="Y9671" s="6" t="s">
        <v>954</v>
      </c>
    </row>
    <row r="9672">
      <c r="Y9672" s="6" t="s">
        <v>954</v>
      </c>
    </row>
    <row r="9673">
      <c r="Y9673" s="6" t="s">
        <v>954</v>
      </c>
    </row>
    <row r="9674">
      <c r="Y9674" s="6" t="s">
        <v>954</v>
      </c>
    </row>
    <row r="9675">
      <c r="Y9675" s="6" t="s">
        <v>954</v>
      </c>
    </row>
    <row r="9676">
      <c r="Y9676" s="6" t="s">
        <v>954</v>
      </c>
    </row>
    <row r="9677">
      <c r="Y9677" s="6" t="s">
        <v>954</v>
      </c>
    </row>
    <row r="9678">
      <c r="Y9678" s="6" t="s">
        <v>954</v>
      </c>
    </row>
    <row r="9679">
      <c r="Y9679" s="6" t="s">
        <v>954</v>
      </c>
    </row>
    <row r="9680">
      <c r="Y9680" s="6" t="s">
        <v>954</v>
      </c>
    </row>
    <row r="9681">
      <c r="Y9681" s="6" t="s">
        <v>954</v>
      </c>
    </row>
    <row r="9682">
      <c r="Y9682" s="6" t="s">
        <v>954</v>
      </c>
    </row>
    <row r="9683">
      <c r="Y9683" s="6" t="s">
        <v>954</v>
      </c>
    </row>
    <row r="9684">
      <c r="Y9684" s="6" t="s">
        <v>954</v>
      </c>
    </row>
    <row r="9685">
      <c r="Y9685" s="6" t="s">
        <v>954</v>
      </c>
    </row>
    <row r="9686">
      <c r="Y9686" s="6" t="s">
        <v>954</v>
      </c>
    </row>
    <row r="9687">
      <c r="Y9687" s="6" t="s">
        <v>954</v>
      </c>
    </row>
    <row r="9688">
      <c r="Y9688" s="6" t="s">
        <v>954</v>
      </c>
    </row>
    <row r="9689">
      <c r="Y9689" s="6" t="s">
        <v>954</v>
      </c>
    </row>
    <row r="9690">
      <c r="Y9690" s="6" t="s">
        <v>954</v>
      </c>
    </row>
    <row r="9691">
      <c r="Y9691" s="6" t="s">
        <v>954</v>
      </c>
    </row>
    <row r="9692">
      <c r="Y9692" s="6" t="s">
        <v>954</v>
      </c>
    </row>
    <row r="9693">
      <c r="Y9693" s="6" t="s">
        <v>954</v>
      </c>
    </row>
    <row r="9694">
      <c r="Y9694" s="6" t="s">
        <v>954</v>
      </c>
    </row>
    <row r="9695">
      <c r="Y9695" s="6" t="s">
        <v>954</v>
      </c>
    </row>
    <row r="9696">
      <c r="Y9696" s="6" t="s">
        <v>954</v>
      </c>
    </row>
    <row r="9697">
      <c r="Y9697" s="6" t="s">
        <v>954</v>
      </c>
    </row>
    <row r="9698">
      <c r="Y9698" s="6" t="s">
        <v>954</v>
      </c>
    </row>
    <row r="9699">
      <c r="Y9699" s="6" t="s">
        <v>954</v>
      </c>
    </row>
    <row r="9700">
      <c r="Y9700" s="6" t="s">
        <v>954</v>
      </c>
    </row>
    <row r="9701">
      <c r="Y9701" s="6" t="s">
        <v>954</v>
      </c>
    </row>
    <row r="9702">
      <c r="Y9702" s="6" t="s">
        <v>954</v>
      </c>
    </row>
    <row r="9703">
      <c r="Y9703" s="6" t="s">
        <v>954</v>
      </c>
    </row>
    <row r="9704">
      <c r="Y9704" s="6" t="s">
        <v>954</v>
      </c>
    </row>
    <row r="9705">
      <c r="Y9705" s="6" t="s">
        <v>954</v>
      </c>
    </row>
    <row r="9706">
      <c r="Y9706" s="6" t="s">
        <v>954</v>
      </c>
    </row>
    <row r="9707">
      <c r="Y9707" s="6" t="s">
        <v>954</v>
      </c>
    </row>
    <row r="9708">
      <c r="Y9708" s="6" t="s">
        <v>954</v>
      </c>
    </row>
    <row r="9709">
      <c r="Y9709" s="6" t="s">
        <v>954</v>
      </c>
    </row>
    <row r="9710">
      <c r="Y9710" s="6" t="s">
        <v>954</v>
      </c>
    </row>
    <row r="9711">
      <c r="Y9711" s="6" t="s">
        <v>954</v>
      </c>
    </row>
    <row r="9712">
      <c r="Y9712" s="6" t="s">
        <v>954</v>
      </c>
    </row>
    <row r="9713">
      <c r="Y9713" s="6" t="s">
        <v>954</v>
      </c>
    </row>
    <row r="9714">
      <c r="Y9714" s="6" t="s">
        <v>954</v>
      </c>
    </row>
    <row r="9715">
      <c r="Y9715" s="6" t="s">
        <v>954</v>
      </c>
    </row>
    <row r="9716">
      <c r="Y9716" s="6" t="s">
        <v>954</v>
      </c>
    </row>
    <row r="9717">
      <c r="Y9717" s="6" t="s">
        <v>954</v>
      </c>
    </row>
    <row r="9718">
      <c r="Y9718" s="6" t="s">
        <v>954</v>
      </c>
    </row>
    <row r="9719">
      <c r="Y9719" s="6" t="s">
        <v>954</v>
      </c>
    </row>
    <row r="9720">
      <c r="Y9720" s="6" t="s">
        <v>954</v>
      </c>
    </row>
    <row r="9721">
      <c r="Y9721" s="6" t="s">
        <v>954</v>
      </c>
    </row>
    <row r="9722">
      <c r="Y9722" s="6" t="s">
        <v>954</v>
      </c>
    </row>
    <row r="9723">
      <c r="Y9723" s="6" t="s">
        <v>954</v>
      </c>
    </row>
    <row r="9724">
      <c r="Y9724" s="6" t="s">
        <v>954</v>
      </c>
    </row>
    <row r="9725">
      <c r="Y9725" s="6" t="s">
        <v>954</v>
      </c>
    </row>
    <row r="9726">
      <c r="Y9726" s="6" t="s">
        <v>954</v>
      </c>
    </row>
    <row r="9727">
      <c r="Y9727" s="6" t="s">
        <v>954</v>
      </c>
    </row>
    <row r="9728">
      <c r="Y9728" s="6" t="s">
        <v>954</v>
      </c>
    </row>
    <row r="9729">
      <c r="Y9729" s="6" t="s">
        <v>954</v>
      </c>
    </row>
    <row r="9730">
      <c r="Y9730" s="6" t="s">
        <v>954</v>
      </c>
    </row>
    <row r="9731">
      <c r="Y9731" s="6" t="s">
        <v>954</v>
      </c>
    </row>
    <row r="9732">
      <c r="Y9732" s="6" t="s">
        <v>954</v>
      </c>
    </row>
    <row r="9733">
      <c r="Y9733" s="6" t="s">
        <v>954</v>
      </c>
    </row>
    <row r="9734">
      <c r="Y9734" s="6" t="s">
        <v>954</v>
      </c>
    </row>
    <row r="9735">
      <c r="Y9735" s="6" t="s">
        <v>954</v>
      </c>
    </row>
    <row r="9736">
      <c r="Y9736" s="6" t="s">
        <v>954</v>
      </c>
    </row>
    <row r="9737">
      <c r="Y9737" s="6" t="s">
        <v>954</v>
      </c>
    </row>
    <row r="9738">
      <c r="Y9738" s="6" t="s">
        <v>954</v>
      </c>
    </row>
    <row r="9739">
      <c r="Y9739" s="6" t="s">
        <v>954</v>
      </c>
    </row>
    <row r="9740">
      <c r="Y9740" s="6" t="s">
        <v>954</v>
      </c>
    </row>
    <row r="9741">
      <c r="Y9741" s="6" t="s">
        <v>954</v>
      </c>
    </row>
    <row r="9742">
      <c r="Y9742" s="6" t="s">
        <v>954</v>
      </c>
    </row>
    <row r="9743">
      <c r="Y9743" s="6" t="s">
        <v>954</v>
      </c>
    </row>
    <row r="9744">
      <c r="Y9744" s="6" t="s">
        <v>954</v>
      </c>
    </row>
    <row r="9745">
      <c r="Y9745" s="6" t="s">
        <v>954</v>
      </c>
    </row>
    <row r="9746">
      <c r="Y9746" s="6" t="s">
        <v>954</v>
      </c>
    </row>
    <row r="9747">
      <c r="Y9747" s="6" t="s">
        <v>954</v>
      </c>
    </row>
    <row r="9748">
      <c r="Y9748" s="6" t="s">
        <v>954</v>
      </c>
    </row>
    <row r="9749">
      <c r="Y9749" s="6" t="s">
        <v>954</v>
      </c>
    </row>
    <row r="9750">
      <c r="Y9750" s="6" t="s">
        <v>954</v>
      </c>
    </row>
    <row r="9751">
      <c r="Y9751" s="6" t="s">
        <v>954</v>
      </c>
    </row>
    <row r="9752">
      <c r="Y9752" s="6" t="s">
        <v>954</v>
      </c>
    </row>
    <row r="9753">
      <c r="Y9753" s="6" t="s">
        <v>954</v>
      </c>
    </row>
    <row r="9754">
      <c r="Y9754" s="6" t="s">
        <v>954</v>
      </c>
    </row>
    <row r="9755">
      <c r="Y9755" s="6" t="s">
        <v>954</v>
      </c>
    </row>
    <row r="9756">
      <c r="Y9756" s="6" t="s">
        <v>954</v>
      </c>
    </row>
    <row r="9757">
      <c r="Y9757" s="6" t="s">
        <v>954</v>
      </c>
    </row>
    <row r="9758">
      <c r="Y9758" s="6" t="s">
        <v>954</v>
      </c>
    </row>
    <row r="9759">
      <c r="Y9759" s="6" t="s">
        <v>954</v>
      </c>
    </row>
    <row r="9760">
      <c r="Y9760" s="6" t="s">
        <v>954</v>
      </c>
    </row>
    <row r="9761">
      <c r="Y9761" s="6" t="s">
        <v>954</v>
      </c>
    </row>
    <row r="9762">
      <c r="Y9762" s="6" t="s">
        <v>954</v>
      </c>
    </row>
    <row r="9763">
      <c r="Y9763" s="6" t="s">
        <v>954</v>
      </c>
    </row>
    <row r="9764">
      <c r="Y9764" s="6" t="s">
        <v>954</v>
      </c>
    </row>
    <row r="9765">
      <c r="Y9765" s="6" t="s">
        <v>954</v>
      </c>
    </row>
    <row r="9766">
      <c r="Y9766" s="6" t="s">
        <v>954</v>
      </c>
    </row>
    <row r="9767">
      <c r="Y9767" s="6" t="s">
        <v>954</v>
      </c>
    </row>
    <row r="9768">
      <c r="Y9768" s="6" t="s">
        <v>954</v>
      </c>
    </row>
    <row r="9769">
      <c r="Y9769" s="6" t="s">
        <v>954</v>
      </c>
    </row>
    <row r="9770">
      <c r="Y9770" s="6" t="s">
        <v>954</v>
      </c>
    </row>
    <row r="9771">
      <c r="Y9771" s="6" t="s">
        <v>954</v>
      </c>
    </row>
    <row r="9772">
      <c r="Y9772" s="6" t="s">
        <v>954</v>
      </c>
    </row>
    <row r="9773">
      <c r="Y9773" s="6" t="s">
        <v>954</v>
      </c>
    </row>
    <row r="9774">
      <c r="Y9774" s="6" t="s">
        <v>954</v>
      </c>
    </row>
    <row r="9775">
      <c r="Y9775" s="6" t="s">
        <v>954</v>
      </c>
    </row>
    <row r="9776">
      <c r="Y9776" s="6" t="s">
        <v>954</v>
      </c>
    </row>
    <row r="9777">
      <c r="Y9777" s="6" t="s">
        <v>954</v>
      </c>
    </row>
    <row r="9778">
      <c r="Y9778" s="6" t="s">
        <v>954</v>
      </c>
    </row>
    <row r="9779">
      <c r="Y9779" s="6" t="s">
        <v>954</v>
      </c>
    </row>
    <row r="9780">
      <c r="Y9780" s="6" t="s">
        <v>954</v>
      </c>
    </row>
    <row r="9781">
      <c r="Y9781" s="6" t="s">
        <v>954</v>
      </c>
    </row>
    <row r="9782">
      <c r="Y9782" s="6" t="s">
        <v>954</v>
      </c>
    </row>
    <row r="9783">
      <c r="Y9783" s="6" t="s">
        <v>954</v>
      </c>
    </row>
    <row r="9784">
      <c r="Y9784" s="6" t="s">
        <v>954</v>
      </c>
    </row>
    <row r="9785">
      <c r="Y9785" s="6" t="s">
        <v>954</v>
      </c>
    </row>
    <row r="9786">
      <c r="Y9786" s="6" t="s">
        <v>954</v>
      </c>
    </row>
    <row r="9787">
      <c r="Y9787" s="6" t="s">
        <v>954</v>
      </c>
    </row>
    <row r="9788">
      <c r="Y9788" s="6" t="s">
        <v>954</v>
      </c>
    </row>
    <row r="9789">
      <c r="Y9789" s="6" t="s">
        <v>954</v>
      </c>
    </row>
    <row r="9790">
      <c r="Y9790" s="6" t="s">
        <v>954</v>
      </c>
    </row>
    <row r="9791">
      <c r="Y9791" s="6" t="s">
        <v>954</v>
      </c>
    </row>
    <row r="9792">
      <c r="Y9792" s="6" t="s">
        <v>954</v>
      </c>
    </row>
    <row r="9793">
      <c r="Y9793" s="6" t="s">
        <v>954</v>
      </c>
    </row>
    <row r="9794">
      <c r="Y9794" s="6" t="s">
        <v>954</v>
      </c>
    </row>
    <row r="9795">
      <c r="Y9795" s="6" t="s">
        <v>954</v>
      </c>
    </row>
    <row r="9796">
      <c r="Y9796" s="6" t="s">
        <v>954</v>
      </c>
    </row>
    <row r="9797">
      <c r="Y9797" s="6" t="s">
        <v>954</v>
      </c>
    </row>
    <row r="9798">
      <c r="Y9798" s="6" t="s">
        <v>954</v>
      </c>
    </row>
    <row r="9799">
      <c r="Y9799" s="6" t="s">
        <v>954</v>
      </c>
    </row>
    <row r="9800">
      <c r="Y9800" s="6" t="s">
        <v>954</v>
      </c>
    </row>
    <row r="9801">
      <c r="Y9801" s="6" t="s">
        <v>954</v>
      </c>
    </row>
    <row r="9802">
      <c r="Y9802" s="6" t="s">
        <v>954</v>
      </c>
    </row>
    <row r="9803">
      <c r="Y9803" s="6" t="s">
        <v>954</v>
      </c>
    </row>
    <row r="9804">
      <c r="Y9804" s="6" t="s">
        <v>954</v>
      </c>
    </row>
    <row r="9805">
      <c r="Y9805" s="6" t="s">
        <v>954</v>
      </c>
    </row>
    <row r="9806">
      <c r="Y9806" s="6" t="s">
        <v>954</v>
      </c>
    </row>
    <row r="9807">
      <c r="Y9807" s="6" t="s">
        <v>954</v>
      </c>
    </row>
    <row r="9808">
      <c r="Y9808" s="6" t="s">
        <v>954</v>
      </c>
    </row>
    <row r="9809">
      <c r="Y9809" s="6" t="s">
        <v>954</v>
      </c>
    </row>
    <row r="9810">
      <c r="Y9810" s="6" t="s">
        <v>954</v>
      </c>
    </row>
    <row r="9811">
      <c r="Y9811" s="6" t="s">
        <v>954</v>
      </c>
    </row>
    <row r="9812">
      <c r="Y9812" s="6" t="s">
        <v>954</v>
      </c>
    </row>
    <row r="9813">
      <c r="Y9813" s="6" t="s">
        <v>954</v>
      </c>
    </row>
    <row r="9814">
      <c r="Y9814" s="6" t="s">
        <v>954</v>
      </c>
    </row>
    <row r="9815">
      <c r="Y9815" s="6" t="s">
        <v>954</v>
      </c>
    </row>
    <row r="9816">
      <c r="Y9816" s="6" t="s">
        <v>954</v>
      </c>
    </row>
    <row r="9817">
      <c r="Y9817" s="6" t="s">
        <v>954</v>
      </c>
    </row>
    <row r="9818">
      <c r="Y9818" s="6" t="s">
        <v>954</v>
      </c>
    </row>
    <row r="9819">
      <c r="Y9819" s="6" t="s">
        <v>954</v>
      </c>
    </row>
    <row r="9820">
      <c r="Y9820" s="6" t="s">
        <v>954</v>
      </c>
    </row>
    <row r="9821">
      <c r="Y9821" s="6" t="s">
        <v>954</v>
      </c>
    </row>
    <row r="9822">
      <c r="Y9822" s="6" t="s">
        <v>954</v>
      </c>
    </row>
    <row r="9823">
      <c r="Y9823" s="6" t="s">
        <v>954</v>
      </c>
    </row>
    <row r="9824">
      <c r="Y9824" s="6" t="s">
        <v>954</v>
      </c>
    </row>
    <row r="9825">
      <c r="Y9825" s="6" t="s">
        <v>954</v>
      </c>
    </row>
    <row r="9826">
      <c r="Y9826" s="6" t="s">
        <v>954</v>
      </c>
    </row>
    <row r="9827">
      <c r="Y9827" s="6" t="s">
        <v>954</v>
      </c>
    </row>
    <row r="9828">
      <c r="Y9828" s="6" t="s">
        <v>954</v>
      </c>
    </row>
    <row r="9829">
      <c r="Y9829" s="6" t="s">
        <v>954</v>
      </c>
    </row>
    <row r="9830">
      <c r="Y9830" s="6" t="s">
        <v>954</v>
      </c>
    </row>
    <row r="9831">
      <c r="Y9831" s="6" t="s">
        <v>954</v>
      </c>
    </row>
    <row r="9832">
      <c r="Y9832" s="6" t="s">
        <v>954</v>
      </c>
    </row>
    <row r="9833">
      <c r="Y9833" s="6" t="s">
        <v>954</v>
      </c>
    </row>
    <row r="9834">
      <c r="Y9834" s="6" t="s">
        <v>954</v>
      </c>
    </row>
    <row r="9835">
      <c r="Y9835" s="6" t="s">
        <v>954</v>
      </c>
    </row>
    <row r="9836">
      <c r="Y9836" s="6" t="s">
        <v>954</v>
      </c>
    </row>
    <row r="9837">
      <c r="Y9837" s="6" t="s">
        <v>954</v>
      </c>
    </row>
    <row r="9838">
      <c r="Y9838" s="6" t="s">
        <v>954</v>
      </c>
    </row>
    <row r="9839">
      <c r="Y9839" s="6" t="s">
        <v>954</v>
      </c>
    </row>
    <row r="9840">
      <c r="Y9840" s="6" t="s">
        <v>954</v>
      </c>
    </row>
    <row r="9841">
      <c r="Y9841" s="6" t="s">
        <v>954</v>
      </c>
    </row>
    <row r="9842">
      <c r="Y9842" s="6" t="s">
        <v>954</v>
      </c>
    </row>
    <row r="9843">
      <c r="Y9843" s="6" t="s">
        <v>954</v>
      </c>
    </row>
    <row r="9844">
      <c r="Y9844" s="6" t="s">
        <v>954</v>
      </c>
    </row>
    <row r="9845">
      <c r="Y9845" s="6" t="s">
        <v>954</v>
      </c>
    </row>
    <row r="9846">
      <c r="Y9846" s="6" t="s">
        <v>954</v>
      </c>
    </row>
    <row r="9847">
      <c r="Y9847" s="6" t="s">
        <v>954</v>
      </c>
    </row>
    <row r="9848">
      <c r="Y9848" s="6" t="s">
        <v>954</v>
      </c>
    </row>
    <row r="9849">
      <c r="Y9849" s="6" t="s">
        <v>954</v>
      </c>
    </row>
    <row r="9850">
      <c r="Y9850" s="6" t="s">
        <v>954</v>
      </c>
    </row>
    <row r="9851">
      <c r="Y9851" s="6" t="s">
        <v>954</v>
      </c>
    </row>
    <row r="9852">
      <c r="Y9852" s="6" t="s">
        <v>954</v>
      </c>
    </row>
    <row r="9853">
      <c r="Y9853" s="6" t="s">
        <v>954</v>
      </c>
    </row>
    <row r="9854">
      <c r="Y9854" s="6" t="s">
        <v>954</v>
      </c>
    </row>
    <row r="9855">
      <c r="Y9855" s="6" t="s">
        <v>954</v>
      </c>
    </row>
    <row r="9856">
      <c r="Y9856" s="6" t="s">
        <v>954</v>
      </c>
    </row>
    <row r="9857">
      <c r="Y9857" s="6" t="s">
        <v>954</v>
      </c>
    </row>
    <row r="9858">
      <c r="Y9858" s="6" t="s">
        <v>954</v>
      </c>
    </row>
    <row r="9859">
      <c r="Y9859" s="6" t="s">
        <v>954</v>
      </c>
    </row>
    <row r="9860">
      <c r="Y9860" s="6" t="s">
        <v>954</v>
      </c>
    </row>
    <row r="9861">
      <c r="Y9861" s="6" t="s">
        <v>954</v>
      </c>
    </row>
    <row r="9862">
      <c r="Y9862" s="6" t="s">
        <v>954</v>
      </c>
    </row>
    <row r="9863">
      <c r="Y9863" s="6" t="s">
        <v>954</v>
      </c>
    </row>
    <row r="9864">
      <c r="Y9864" s="6" t="s">
        <v>954</v>
      </c>
    </row>
    <row r="9865">
      <c r="Y9865" s="6" t="s">
        <v>954</v>
      </c>
    </row>
    <row r="9866">
      <c r="Y9866" s="6" t="s">
        <v>954</v>
      </c>
    </row>
    <row r="9867">
      <c r="Y9867" s="6" t="s">
        <v>954</v>
      </c>
    </row>
    <row r="9868">
      <c r="Y9868" s="6" t="s">
        <v>954</v>
      </c>
    </row>
    <row r="9869">
      <c r="Y9869" s="6" t="s">
        <v>954</v>
      </c>
    </row>
    <row r="9870">
      <c r="Y9870" s="6" t="s">
        <v>954</v>
      </c>
    </row>
    <row r="9871">
      <c r="Y9871" s="6" t="s">
        <v>954</v>
      </c>
    </row>
    <row r="9872">
      <c r="Y9872" s="6" t="s">
        <v>954</v>
      </c>
    </row>
    <row r="9873">
      <c r="Y9873" s="6" t="s">
        <v>954</v>
      </c>
    </row>
    <row r="9874">
      <c r="Y9874" s="6" t="s">
        <v>954</v>
      </c>
    </row>
    <row r="9875">
      <c r="Y9875" s="6" t="s">
        <v>954</v>
      </c>
    </row>
    <row r="9876">
      <c r="Y9876" s="6" t="s">
        <v>954</v>
      </c>
    </row>
    <row r="9877">
      <c r="Y9877" s="6" t="s">
        <v>954</v>
      </c>
    </row>
    <row r="9878">
      <c r="Y9878" s="6" t="s">
        <v>954</v>
      </c>
    </row>
    <row r="9879">
      <c r="Y9879" s="6" t="s">
        <v>954</v>
      </c>
    </row>
    <row r="9880">
      <c r="Y9880" s="6" t="s">
        <v>954</v>
      </c>
    </row>
    <row r="9881">
      <c r="Y9881" s="6" t="s">
        <v>954</v>
      </c>
    </row>
    <row r="9882">
      <c r="Y9882" s="6" t="s">
        <v>954</v>
      </c>
    </row>
    <row r="9883">
      <c r="Y9883" s="6" t="s">
        <v>954</v>
      </c>
    </row>
    <row r="9884">
      <c r="Y9884" s="6" t="s">
        <v>954</v>
      </c>
    </row>
    <row r="9885">
      <c r="Y9885" s="6" t="s">
        <v>954</v>
      </c>
    </row>
    <row r="9886">
      <c r="Y9886" s="6" t="s">
        <v>954</v>
      </c>
    </row>
    <row r="9887">
      <c r="Y9887" s="6" t="s">
        <v>954</v>
      </c>
    </row>
    <row r="9888">
      <c r="Y9888" s="6" t="s">
        <v>954</v>
      </c>
    </row>
    <row r="9889">
      <c r="Y9889" s="6" t="s">
        <v>954</v>
      </c>
    </row>
    <row r="9890">
      <c r="Y9890" s="6" t="s">
        <v>954</v>
      </c>
    </row>
    <row r="9891">
      <c r="Y9891" s="6" t="s">
        <v>954</v>
      </c>
    </row>
    <row r="9892">
      <c r="Y9892" s="6" t="s">
        <v>954</v>
      </c>
    </row>
    <row r="9893">
      <c r="Y9893" s="6" t="s">
        <v>954</v>
      </c>
    </row>
    <row r="9894">
      <c r="Y9894" s="6" t="s">
        <v>954</v>
      </c>
    </row>
    <row r="9895">
      <c r="Y9895" s="6" t="s">
        <v>954</v>
      </c>
    </row>
    <row r="9896">
      <c r="Y9896" s="6" t="s">
        <v>954</v>
      </c>
    </row>
    <row r="9897">
      <c r="Y9897" s="6" t="s">
        <v>954</v>
      </c>
    </row>
    <row r="9898">
      <c r="Y9898" s="6" t="s">
        <v>954</v>
      </c>
    </row>
    <row r="9899">
      <c r="Y9899" s="6" t="s">
        <v>954</v>
      </c>
    </row>
    <row r="9900">
      <c r="Y9900" s="6" t="s">
        <v>954</v>
      </c>
    </row>
    <row r="9901">
      <c r="Y9901" s="6" t="s">
        <v>954</v>
      </c>
    </row>
    <row r="9902">
      <c r="Y9902" s="6" t="s">
        <v>954</v>
      </c>
    </row>
    <row r="9903">
      <c r="Y9903" s="6" t="s">
        <v>954</v>
      </c>
    </row>
    <row r="9904">
      <c r="Y9904" s="6" t="s">
        <v>954</v>
      </c>
    </row>
    <row r="9905">
      <c r="Y9905" s="6" t="s">
        <v>954</v>
      </c>
    </row>
    <row r="9906">
      <c r="Y9906" s="6" t="s">
        <v>954</v>
      </c>
    </row>
    <row r="9907">
      <c r="Y9907" s="6" t="s">
        <v>954</v>
      </c>
    </row>
    <row r="9908">
      <c r="Y9908" s="6" t="s">
        <v>954</v>
      </c>
    </row>
    <row r="9909">
      <c r="Y9909" s="6" t="s">
        <v>954</v>
      </c>
    </row>
    <row r="9910">
      <c r="Y9910" s="6" t="s">
        <v>954</v>
      </c>
    </row>
    <row r="9911">
      <c r="Y9911" s="6" t="s">
        <v>954</v>
      </c>
    </row>
    <row r="9912">
      <c r="Y9912" s="6" t="s">
        <v>954</v>
      </c>
    </row>
    <row r="9913">
      <c r="Y9913" s="6" t="s">
        <v>954</v>
      </c>
    </row>
    <row r="9914">
      <c r="Y9914" s="6" t="s">
        <v>954</v>
      </c>
    </row>
    <row r="9915">
      <c r="Y9915" s="6" t="s">
        <v>954</v>
      </c>
    </row>
    <row r="9916">
      <c r="Y9916" s="6" t="s">
        <v>954</v>
      </c>
    </row>
    <row r="9917">
      <c r="Y9917" s="6" t="s">
        <v>954</v>
      </c>
    </row>
    <row r="9918">
      <c r="Y9918" s="6" t="s">
        <v>954</v>
      </c>
    </row>
    <row r="9919">
      <c r="Y9919" s="6" t="s">
        <v>954</v>
      </c>
    </row>
    <row r="9920">
      <c r="Y9920" s="6" t="s">
        <v>954</v>
      </c>
    </row>
    <row r="9921">
      <c r="Y9921" s="6" t="s">
        <v>954</v>
      </c>
    </row>
    <row r="9922">
      <c r="Y9922" s="6" t="s">
        <v>954</v>
      </c>
    </row>
    <row r="9923">
      <c r="Y9923" s="6" t="s">
        <v>954</v>
      </c>
    </row>
    <row r="9924">
      <c r="Y9924" s="6" t="s">
        <v>954</v>
      </c>
    </row>
    <row r="9925">
      <c r="Y9925" s="6" t="s">
        <v>954</v>
      </c>
    </row>
    <row r="9926">
      <c r="Y9926" s="6" t="s">
        <v>954</v>
      </c>
    </row>
    <row r="9927">
      <c r="Y9927" s="6" t="s">
        <v>954</v>
      </c>
    </row>
    <row r="9928">
      <c r="Y9928" s="6" t="s">
        <v>954</v>
      </c>
    </row>
    <row r="9929">
      <c r="Y9929" s="6" t="s">
        <v>954</v>
      </c>
    </row>
    <row r="9930">
      <c r="Y9930" s="6" t="s">
        <v>954</v>
      </c>
    </row>
    <row r="9931">
      <c r="Y9931" s="6" t="s">
        <v>954</v>
      </c>
    </row>
    <row r="9932">
      <c r="Y9932" s="6" t="s">
        <v>954</v>
      </c>
    </row>
    <row r="9933">
      <c r="Y9933" s="6" t="s">
        <v>954</v>
      </c>
    </row>
    <row r="9934">
      <c r="Y9934" s="6" t="s">
        <v>954</v>
      </c>
    </row>
    <row r="9935">
      <c r="Y9935" s="6" t="s">
        <v>954</v>
      </c>
    </row>
    <row r="9936">
      <c r="Y9936" s="6" t="s">
        <v>954</v>
      </c>
    </row>
    <row r="9937">
      <c r="Y9937" s="6" t="s">
        <v>954</v>
      </c>
    </row>
    <row r="9938">
      <c r="Y9938" s="6" t="s">
        <v>954</v>
      </c>
    </row>
    <row r="9939">
      <c r="Y9939" s="6" t="s">
        <v>954</v>
      </c>
    </row>
    <row r="9940">
      <c r="Y9940" s="6" t="s">
        <v>954</v>
      </c>
    </row>
    <row r="9941">
      <c r="Y9941" s="6" t="s">
        <v>954</v>
      </c>
    </row>
    <row r="9942">
      <c r="Y9942" s="6" t="s">
        <v>954</v>
      </c>
    </row>
    <row r="9943">
      <c r="Y9943" s="6" t="s">
        <v>954</v>
      </c>
    </row>
    <row r="9944">
      <c r="Y9944" s="6" t="s">
        <v>954</v>
      </c>
    </row>
    <row r="9945">
      <c r="Y9945" s="6" t="s">
        <v>954</v>
      </c>
    </row>
    <row r="9946">
      <c r="Y9946" s="6" t="s">
        <v>954</v>
      </c>
    </row>
    <row r="9947">
      <c r="Y9947" s="6" t="s">
        <v>954</v>
      </c>
    </row>
    <row r="9948">
      <c r="Y9948" s="6" t="s">
        <v>954</v>
      </c>
    </row>
    <row r="9949">
      <c r="Y9949" s="6" t="s">
        <v>954</v>
      </c>
    </row>
    <row r="9950">
      <c r="Y9950" s="6" t="s">
        <v>954</v>
      </c>
    </row>
    <row r="9951">
      <c r="Y9951" s="6" t="s">
        <v>954</v>
      </c>
    </row>
    <row r="9952">
      <c r="Y9952" s="6" t="s">
        <v>954</v>
      </c>
    </row>
    <row r="9953">
      <c r="Y9953" s="6" t="s">
        <v>954</v>
      </c>
    </row>
    <row r="9954">
      <c r="Y9954" s="6" t="s">
        <v>954</v>
      </c>
    </row>
    <row r="9955">
      <c r="Y9955" s="6" t="s">
        <v>954</v>
      </c>
    </row>
    <row r="9956">
      <c r="Y9956" s="6" t="s">
        <v>954</v>
      </c>
    </row>
    <row r="9957">
      <c r="Y9957" s="6" t="s">
        <v>954</v>
      </c>
    </row>
    <row r="9958">
      <c r="Y9958" s="6" t="s">
        <v>954</v>
      </c>
    </row>
    <row r="9959">
      <c r="Y9959" s="6" t="s">
        <v>954</v>
      </c>
    </row>
    <row r="9960">
      <c r="Y9960" s="6" t="s">
        <v>954</v>
      </c>
    </row>
    <row r="9961">
      <c r="Y9961" s="6" t="s">
        <v>954</v>
      </c>
    </row>
    <row r="9962">
      <c r="Y9962" s="6" t="s">
        <v>954</v>
      </c>
    </row>
    <row r="9963">
      <c r="Y9963" s="6" t="s">
        <v>954</v>
      </c>
    </row>
    <row r="9964">
      <c r="Y9964" s="6" t="s">
        <v>954</v>
      </c>
    </row>
    <row r="9965">
      <c r="Y9965" s="6" t="s">
        <v>954</v>
      </c>
    </row>
    <row r="9966">
      <c r="Y9966" s="6" t="s">
        <v>954</v>
      </c>
    </row>
    <row r="9967">
      <c r="Y9967" s="6" t="s">
        <v>954</v>
      </c>
    </row>
    <row r="9968">
      <c r="Y9968" s="6" t="s">
        <v>954</v>
      </c>
    </row>
    <row r="9969">
      <c r="Y9969" s="6" t="s">
        <v>954</v>
      </c>
    </row>
    <row r="9970">
      <c r="Y9970" s="6" t="s">
        <v>954</v>
      </c>
    </row>
    <row r="9971">
      <c r="Y9971" s="6" t="s">
        <v>954</v>
      </c>
    </row>
    <row r="9972">
      <c r="Y9972" s="6" t="s">
        <v>954</v>
      </c>
    </row>
    <row r="9973">
      <c r="Y9973" s="6" t="s">
        <v>954</v>
      </c>
    </row>
    <row r="9974">
      <c r="Y9974" s="6" t="s">
        <v>954</v>
      </c>
    </row>
    <row r="9975">
      <c r="Y9975" s="6" t="s">
        <v>954</v>
      </c>
    </row>
    <row r="9976">
      <c r="Y9976" s="6" t="s">
        <v>954</v>
      </c>
    </row>
    <row r="9977">
      <c r="Y9977" s="6" t="s">
        <v>954</v>
      </c>
    </row>
    <row r="9978">
      <c r="Y9978" s="6" t="s">
        <v>954</v>
      </c>
    </row>
    <row r="9979">
      <c r="Y9979" s="6" t="s">
        <v>954</v>
      </c>
    </row>
    <row r="9980">
      <c r="Y9980" s="6" t="s">
        <v>954</v>
      </c>
    </row>
    <row r="9981">
      <c r="Y9981" s="6" t="s">
        <v>954</v>
      </c>
    </row>
    <row r="9982">
      <c r="Y9982" s="6" t="s">
        <v>954</v>
      </c>
    </row>
    <row r="9983">
      <c r="Y9983" s="6" t="s">
        <v>954</v>
      </c>
    </row>
    <row r="9984">
      <c r="Y9984" s="6" t="s">
        <v>954</v>
      </c>
    </row>
    <row r="9985">
      <c r="Y9985" s="6" t="s">
        <v>954</v>
      </c>
    </row>
    <row r="9986">
      <c r="Y9986" s="6" t="s">
        <v>954</v>
      </c>
    </row>
    <row r="9987">
      <c r="Y9987" s="6" t="s">
        <v>954</v>
      </c>
    </row>
    <row r="9988">
      <c r="Y9988" s="6" t="s">
        <v>954</v>
      </c>
    </row>
    <row r="9989">
      <c r="Y9989" s="6" t="s">
        <v>954</v>
      </c>
    </row>
    <row r="9990">
      <c r="Y9990" s="6" t="s">
        <v>954</v>
      </c>
    </row>
    <row r="9991">
      <c r="Y9991" s="6" t="s">
        <v>954</v>
      </c>
    </row>
    <row r="9992">
      <c r="Y9992" s="6" t="s">
        <v>954</v>
      </c>
    </row>
    <row r="9993">
      <c r="Y9993" s="6" t="s">
        <v>954</v>
      </c>
    </row>
    <row r="9994">
      <c r="Y9994" s="6" t="s">
        <v>954</v>
      </c>
    </row>
    <row r="9995">
      <c r="Y9995" s="6" t="s">
        <v>954</v>
      </c>
    </row>
    <row r="9996">
      <c r="Y9996" s="6" t="s">
        <v>954</v>
      </c>
    </row>
    <row r="9997">
      <c r="Y9997" s="6" t="s">
        <v>954</v>
      </c>
    </row>
    <row r="9998">
      <c r="Y9998" s="6" t="s">
        <v>954</v>
      </c>
    </row>
    <row r="9999">
      <c r="Y9999" s="6" t="s">
        <v>954</v>
      </c>
    </row>
    <row r="10000">
      <c r="Y10000" s="6" t="s">
        <v>954</v>
      </c>
    </row>
    <row r="10001">
      <c r="Y10001" s="6" t="s">
        <v>954</v>
      </c>
    </row>
    <row r="10002">
      <c r="Y10002" s="6" t="s">
        <v>954</v>
      </c>
    </row>
    <row r="10003">
      <c r="Y10003" s="6" t="s">
        <v>954</v>
      </c>
    </row>
    <row r="10004">
      <c r="Y10004" s="6" t="s">
        <v>954</v>
      </c>
    </row>
    <row r="10005">
      <c r="Y10005" s="6" t="s">
        <v>954</v>
      </c>
    </row>
    <row r="10006">
      <c r="Y10006" s="6" t="s">
        <v>954</v>
      </c>
    </row>
    <row r="10007">
      <c r="Y10007" s="6" t="s">
        <v>954</v>
      </c>
    </row>
    <row r="10008">
      <c r="Y10008" s="6" t="s">
        <v>954</v>
      </c>
    </row>
    <row r="10009">
      <c r="Y10009" s="6" t="s">
        <v>954</v>
      </c>
    </row>
    <row r="10010">
      <c r="Y10010" s="6" t="s">
        <v>954</v>
      </c>
    </row>
    <row r="10011">
      <c r="Y10011" s="6" t="s">
        <v>954</v>
      </c>
    </row>
    <row r="10012">
      <c r="Y10012" s="6" t="s">
        <v>954</v>
      </c>
    </row>
    <row r="10013">
      <c r="Y10013" s="6" t="s">
        <v>954</v>
      </c>
    </row>
    <row r="10014">
      <c r="Y10014" s="6" t="s">
        <v>954</v>
      </c>
    </row>
    <row r="10015">
      <c r="Y10015" s="6" t="s">
        <v>954</v>
      </c>
    </row>
    <row r="10016">
      <c r="Y10016" s="6" t="s">
        <v>954</v>
      </c>
    </row>
    <row r="10017">
      <c r="Y10017" s="6" t="s">
        <v>954</v>
      </c>
    </row>
    <row r="10018">
      <c r="Y10018" s="6" t="s">
        <v>954</v>
      </c>
    </row>
    <row r="10019">
      <c r="Y10019" s="6" t="s">
        <v>954</v>
      </c>
    </row>
    <row r="10020">
      <c r="Y10020" s="6" t="s">
        <v>954</v>
      </c>
    </row>
    <row r="10021">
      <c r="Y10021" s="6" t="s">
        <v>954</v>
      </c>
    </row>
    <row r="10022">
      <c r="Y10022" s="6" t="s">
        <v>954</v>
      </c>
    </row>
    <row r="10023">
      <c r="Y10023" s="6" t="s">
        <v>954</v>
      </c>
    </row>
    <row r="10024">
      <c r="Y10024" s="6" t="s">
        <v>954</v>
      </c>
    </row>
    <row r="10025">
      <c r="Y10025" s="6" t="s">
        <v>954</v>
      </c>
    </row>
    <row r="10026">
      <c r="Y10026" s="6" t="s">
        <v>954</v>
      </c>
    </row>
    <row r="10027">
      <c r="Y10027" s="6" t="s">
        <v>954</v>
      </c>
    </row>
    <row r="10028">
      <c r="Y10028" s="6" t="s">
        <v>954</v>
      </c>
    </row>
    <row r="10029">
      <c r="Y10029" s="6" t="s">
        <v>954</v>
      </c>
    </row>
    <row r="10030">
      <c r="Y10030" s="6" t="s">
        <v>954</v>
      </c>
    </row>
    <row r="10031">
      <c r="Y10031" s="6" t="s">
        <v>954</v>
      </c>
    </row>
    <row r="10032">
      <c r="Y10032" s="6" t="s">
        <v>954</v>
      </c>
    </row>
    <row r="10033">
      <c r="Y10033" s="6" t="s">
        <v>954</v>
      </c>
    </row>
    <row r="10034">
      <c r="Y10034" s="6" t="s">
        <v>954</v>
      </c>
    </row>
    <row r="10035">
      <c r="Y10035" s="6" t="s">
        <v>954</v>
      </c>
    </row>
    <row r="10036">
      <c r="Y10036" s="6" t="s">
        <v>954</v>
      </c>
    </row>
    <row r="10037">
      <c r="Y10037" s="6" t="s">
        <v>954</v>
      </c>
    </row>
    <row r="10038">
      <c r="Y10038" s="6" t="s">
        <v>954</v>
      </c>
    </row>
    <row r="10039">
      <c r="Y10039" s="6" t="s">
        <v>954</v>
      </c>
    </row>
    <row r="10040">
      <c r="Y10040" s="6" t="s">
        <v>954</v>
      </c>
    </row>
    <row r="10041">
      <c r="Y10041" s="6" t="s">
        <v>954</v>
      </c>
    </row>
    <row r="10042">
      <c r="Y10042" s="6" t="s">
        <v>954</v>
      </c>
    </row>
    <row r="10043">
      <c r="Y10043" s="6" t="s">
        <v>954</v>
      </c>
    </row>
    <row r="10044">
      <c r="Y10044" s="6" t="s">
        <v>954</v>
      </c>
    </row>
    <row r="10045">
      <c r="Y10045" s="6" t="s">
        <v>954</v>
      </c>
    </row>
    <row r="10046">
      <c r="Y10046" s="6" t="s">
        <v>954</v>
      </c>
    </row>
    <row r="10047">
      <c r="Y10047" s="6" t="s">
        <v>954</v>
      </c>
    </row>
    <row r="10048">
      <c r="Y10048" s="6" t="s">
        <v>954</v>
      </c>
    </row>
    <row r="10049">
      <c r="Y10049" s="6" t="s">
        <v>954</v>
      </c>
    </row>
    <row r="10050">
      <c r="Y10050" s="6" t="s">
        <v>954</v>
      </c>
    </row>
    <row r="10051">
      <c r="Y10051" s="6" t="s">
        <v>954</v>
      </c>
    </row>
    <row r="10052">
      <c r="Y10052" s="6" t="s">
        <v>954</v>
      </c>
    </row>
    <row r="10053">
      <c r="Y10053" s="6" t="s">
        <v>954</v>
      </c>
    </row>
    <row r="10054">
      <c r="Y10054" s="6" t="s">
        <v>954</v>
      </c>
    </row>
    <row r="10055">
      <c r="Y10055" s="6" t="s">
        <v>954</v>
      </c>
    </row>
    <row r="10056">
      <c r="Y10056" s="6" t="s">
        <v>954</v>
      </c>
    </row>
    <row r="10057">
      <c r="Y10057" s="6" t="s">
        <v>954</v>
      </c>
    </row>
    <row r="10058">
      <c r="Y10058" s="6" t="s">
        <v>954</v>
      </c>
    </row>
    <row r="10059">
      <c r="Y10059" s="6" t="s">
        <v>954</v>
      </c>
    </row>
    <row r="10060">
      <c r="Y10060" s="6" t="s">
        <v>954</v>
      </c>
    </row>
    <row r="10061">
      <c r="Y10061" s="6" t="s">
        <v>954</v>
      </c>
    </row>
    <row r="10062">
      <c r="Y10062" s="6" t="s">
        <v>954</v>
      </c>
    </row>
    <row r="10063">
      <c r="Y10063" s="6" t="s">
        <v>954</v>
      </c>
    </row>
    <row r="10064">
      <c r="Y10064" s="6" t="s">
        <v>954</v>
      </c>
    </row>
    <row r="10065">
      <c r="Y10065" s="6" t="s">
        <v>954</v>
      </c>
    </row>
    <row r="10066">
      <c r="Y10066" s="6" t="s">
        <v>954</v>
      </c>
    </row>
    <row r="10067">
      <c r="Y10067" s="6" t="s">
        <v>954</v>
      </c>
    </row>
    <row r="10068">
      <c r="Y10068" s="6" t="s">
        <v>954</v>
      </c>
    </row>
    <row r="10069">
      <c r="Y10069" s="6" t="s">
        <v>954</v>
      </c>
    </row>
    <row r="10070">
      <c r="Y10070" s="6" t="s">
        <v>954</v>
      </c>
    </row>
    <row r="10071">
      <c r="Y10071" s="6" t="s">
        <v>954</v>
      </c>
    </row>
    <row r="10072">
      <c r="Y10072" s="6" t="s">
        <v>954</v>
      </c>
    </row>
    <row r="10073">
      <c r="Y10073" s="6" t="s">
        <v>954</v>
      </c>
    </row>
    <row r="10074">
      <c r="Y10074" s="6" t="s">
        <v>954</v>
      </c>
    </row>
    <row r="10075">
      <c r="Y10075" s="6" t="s">
        <v>954</v>
      </c>
    </row>
    <row r="10076">
      <c r="Y10076" s="6" t="s">
        <v>954</v>
      </c>
    </row>
    <row r="10077">
      <c r="Y10077" s="6" t="s">
        <v>954</v>
      </c>
    </row>
    <row r="10078">
      <c r="Y10078" s="6" t="s">
        <v>954</v>
      </c>
    </row>
    <row r="10079">
      <c r="Y10079" s="6" t="s">
        <v>954</v>
      </c>
    </row>
    <row r="10080">
      <c r="Y10080" s="6" t="s">
        <v>954</v>
      </c>
    </row>
    <row r="10081">
      <c r="Y10081" s="6" t="s">
        <v>954</v>
      </c>
    </row>
    <row r="10082">
      <c r="Y10082" s="6" t="s">
        <v>954</v>
      </c>
    </row>
    <row r="10083">
      <c r="Y10083" s="6" t="s">
        <v>954</v>
      </c>
    </row>
    <row r="10084">
      <c r="Y10084" s="6" t="s">
        <v>954</v>
      </c>
    </row>
    <row r="10085">
      <c r="Y10085" s="6" t="s">
        <v>954</v>
      </c>
    </row>
    <row r="10086">
      <c r="Y10086" s="6" t="s">
        <v>954</v>
      </c>
    </row>
    <row r="10087">
      <c r="Y10087" s="6" t="s">
        <v>954</v>
      </c>
    </row>
    <row r="10088">
      <c r="Y10088" s="6" t="s">
        <v>954</v>
      </c>
    </row>
    <row r="10089">
      <c r="Y10089" s="6" t="s">
        <v>954</v>
      </c>
    </row>
    <row r="10090">
      <c r="Y10090" s="6" t="s">
        <v>954</v>
      </c>
    </row>
    <row r="10091">
      <c r="Y10091" s="6" t="s">
        <v>954</v>
      </c>
    </row>
    <row r="10092">
      <c r="Y10092" s="6" t="s">
        <v>954</v>
      </c>
    </row>
    <row r="10093">
      <c r="Y10093" s="6" t="s">
        <v>954</v>
      </c>
    </row>
    <row r="10094">
      <c r="Y10094" s="6" t="s">
        <v>954</v>
      </c>
    </row>
    <row r="10095">
      <c r="Y10095" s="6" t="s">
        <v>954</v>
      </c>
    </row>
    <row r="10096">
      <c r="Y10096" s="6" t="s">
        <v>954</v>
      </c>
    </row>
    <row r="10097">
      <c r="Y10097" s="6" t="s">
        <v>954</v>
      </c>
    </row>
    <row r="10098">
      <c r="Y10098" s="6" t="s">
        <v>954</v>
      </c>
    </row>
    <row r="10099">
      <c r="Y10099" s="6" t="s">
        <v>954</v>
      </c>
    </row>
    <row r="10100">
      <c r="Y10100" s="6" t="s">
        <v>954</v>
      </c>
    </row>
    <row r="10101">
      <c r="Y10101" s="6" t="s">
        <v>954</v>
      </c>
    </row>
    <row r="10102">
      <c r="Y10102" s="6" t="s">
        <v>954</v>
      </c>
    </row>
    <row r="10103">
      <c r="Y10103" s="6" t="s">
        <v>954</v>
      </c>
    </row>
    <row r="10104">
      <c r="Y10104" s="6" t="s">
        <v>954</v>
      </c>
    </row>
    <row r="10105">
      <c r="Y10105" s="6" t="s">
        <v>954</v>
      </c>
    </row>
    <row r="10106">
      <c r="Y10106" s="6" t="s">
        <v>954</v>
      </c>
    </row>
    <row r="10107">
      <c r="Y10107" s="6" t="s">
        <v>954</v>
      </c>
    </row>
    <row r="10108">
      <c r="Y10108" s="6" t="s">
        <v>954</v>
      </c>
    </row>
    <row r="10109">
      <c r="Y10109" s="6" t="s">
        <v>954</v>
      </c>
    </row>
    <row r="10110">
      <c r="Y10110" s="6" t="s">
        <v>954</v>
      </c>
    </row>
    <row r="10111">
      <c r="Y10111" s="6" t="s">
        <v>954</v>
      </c>
    </row>
    <row r="10112">
      <c r="Y10112" s="6" t="s">
        <v>954</v>
      </c>
    </row>
    <row r="10113">
      <c r="Y10113" s="6" t="s">
        <v>954</v>
      </c>
    </row>
    <row r="10114">
      <c r="Y10114" s="6" t="s">
        <v>954</v>
      </c>
    </row>
    <row r="10115">
      <c r="Y10115" s="6" t="s">
        <v>954</v>
      </c>
    </row>
    <row r="10116">
      <c r="Y10116" s="6" t="s">
        <v>954</v>
      </c>
    </row>
    <row r="10117">
      <c r="Y10117" s="6" t="s">
        <v>954</v>
      </c>
    </row>
    <row r="10118">
      <c r="Y10118" s="6" t="s">
        <v>954</v>
      </c>
    </row>
    <row r="10119">
      <c r="Y10119" s="6" t="s">
        <v>954</v>
      </c>
    </row>
    <row r="10120">
      <c r="Y10120" s="6" t="s">
        <v>954</v>
      </c>
    </row>
    <row r="10121">
      <c r="Y10121" s="6" t="s">
        <v>954</v>
      </c>
    </row>
    <row r="10122">
      <c r="Y10122" s="6" t="s">
        <v>954</v>
      </c>
    </row>
    <row r="10123">
      <c r="Y10123" s="6" t="s">
        <v>954</v>
      </c>
    </row>
    <row r="10124">
      <c r="Y10124" s="6" t="s">
        <v>954</v>
      </c>
    </row>
    <row r="10125">
      <c r="Y10125" s="6" t="s">
        <v>954</v>
      </c>
    </row>
    <row r="10126">
      <c r="Y10126" s="6" t="s">
        <v>954</v>
      </c>
    </row>
    <row r="10127">
      <c r="Y10127" s="6" t="s">
        <v>954</v>
      </c>
    </row>
    <row r="10128">
      <c r="Y10128" s="6" t="s">
        <v>954</v>
      </c>
    </row>
    <row r="10129">
      <c r="Y10129" s="6" t="s">
        <v>954</v>
      </c>
    </row>
    <row r="10130">
      <c r="Y10130" s="6" t="s">
        <v>954</v>
      </c>
    </row>
    <row r="10131">
      <c r="Y10131" s="6" t="s">
        <v>954</v>
      </c>
    </row>
    <row r="10132">
      <c r="Y10132" s="6" t="s">
        <v>954</v>
      </c>
    </row>
    <row r="10133">
      <c r="Y10133" s="6" t="s">
        <v>954</v>
      </c>
    </row>
    <row r="10134">
      <c r="Y10134" s="6" t="s">
        <v>954</v>
      </c>
    </row>
    <row r="10135">
      <c r="Y10135" s="6" t="s">
        <v>954</v>
      </c>
    </row>
    <row r="10136">
      <c r="Y10136" s="6" t="s">
        <v>954</v>
      </c>
    </row>
    <row r="10137">
      <c r="Y10137" s="6" t="s">
        <v>954</v>
      </c>
    </row>
    <row r="10138">
      <c r="Y10138" s="6" t="s">
        <v>954</v>
      </c>
    </row>
    <row r="10139">
      <c r="Y10139" s="6" t="s">
        <v>954</v>
      </c>
    </row>
    <row r="10140">
      <c r="Y10140" s="6" t="s">
        <v>954</v>
      </c>
    </row>
    <row r="10141">
      <c r="Y10141" s="6" t="s">
        <v>954</v>
      </c>
    </row>
    <row r="10142">
      <c r="Y10142" s="6" t="s">
        <v>954</v>
      </c>
    </row>
    <row r="10143">
      <c r="Y10143" s="6" t="s">
        <v>954</v>
      </c>
    </row>
    <row r="10144">
      <c r="Y10144" s="6" t="s">
        <v>954</v>
      </c>
    </row>
    <row r="10145">
      <c r="Y10145" s="6" t="s">
        <v>954</v>
      </c>
    </row>
    <row r="10146">
      <c r="Y10146" s="6" t="s">
        <v>954</v>
      </c>
    </row>
    <row r="10147">
      <c r="Y10147" s="6" t="s">
        <v>954</v>
      </c>
    </row>
    <row r="10148">
      <c r="Y10148" s="6" t="s">
        <v>954</v>
      </c>
    </row>
    <row r="10149">
      <c r="Y10149" s="6" t="s">
        <v>954</v>
      </c>
    </row>
    <row r="10150">
      <c r="Y10150" s="6" t="s">
        <v>954</v>
      </c>
    </row>
    <row r="10151">
      <c r="Y10151" s="6" t="s">
        <v>954</v>
      </c>
    </row>
    <row r="10152">
      <c r="Y10152" s="6" t="s">
        <v>954</v>
      </c>
    </row>
    <row r="10153">
      <c r="Y10153" s="6" t="s">
        <v>954</v>
      </c>
    </row>
    <row r="10154">
      <c r="Y10154" s="6" t="s">
        <v>954</v>
      </c>
    </row>
    <row r="10155">
      <c r="Y10155" s="6" t="s">
        <v>954</v>
      </c>
    </row>
    <row r="10156">
      <c r="Y10156" s="6" t="s">
        <v>954</v>
      </c>
    </row>
    <row r="10157">
      <c r="Y10157" s="6" t="s">
        <v>954</v>
      </c>
    </row>
    <row r="10158">
      <c r="Y10158" s="6" t="s">
        <v>954</v>
      </c>
    </row>
    <row r="10159">
      <c r="Y10159" s="6" t="s">
        <v>954</v>
      </c>
    </row>
    <row r="10160">
      <c r="Y10160" s="6" t="s">
        <v>954</v>
      </c>
    </row>
    <row r="10161">
      <c r="Y10161" s="6" t="s">
        <v>954</v>
      </c>
    </row>
    <row r="10162">
      <c r="Y10162" s="6" t="s">
        <v>954</v>
      </c>
    </row>
    <row r="10163">
      <c r="Y10163" s="6" t="s">
        <v>954</v>
      </c>
    </row>
    <row r="10164">
      <c r="Y10164" s="6" t="s">
        <v>954</v>
      </c>
    </row>
    <row r="10165">
      <c r="Y10165" s="6" t="s">
        <v>954</v>
      </c>
    </row>
    <row r="10166">
      <c r="Y10166" s="6" t="s">
        <v>954</v>
      </c>
    </row>
    <row r="10167">
      <c r="Y10167" s="6" t="s">
        <v>954</v>
      </c>
    </row>
    <row r="10168">
      <c r="Y10168" s="6" t="s">
        <v>954</v>
      </c>
    </row>
    <row r="10169">
      <c r="Y10169" s="6" t="s">
        <v>954</v>
      </c>
    </row>
    <row r="10170">
      <c r="Y10170" s="6" t="s">
        <v>954</v>
      </c>
    </row>
    <row r="10171">
      <c r="Y10171" s="6" t="s">
        <v>954</v>
      </c>
    </row>
    <row r="10172">
      <c r="Y10172" s="6" t="s">
        <v>954</v>
      </c>
    </row>
    <row r="10173">
      <c r="Y10173" s="6" t="s">
        <v>954</v>
      </c>
    </row>
    <row r="10174">
      <c r="Y10174" s="6" t="s">
        <v>954</v>
      </c>
    </row>
    <row r="10175">
      <c r="Y10175" s="6" t="s">
        <v>954</v>
      </c>
    </row>
    <row r="10176">
      <c r="Y10176" s="6" t="s">
        <v>954</v>
      </c>
    </row>
    <row r="10177">
      <c r="Y10177" s="6" t="s">
        <v>954</v>
      </c>
    </row>
    <row r="10178">
      <c r="Y10178" s="6" t="s">
        <v>954</v>
      </c>
    </row>
    <row r="10179">
      <c r="Y10179" s="6" t="s">
        <v>954</v>
      </c>
    </row>
    <row r="10180">
      <c r="Y10180" s="6" t="s">
        <v>954</v>
      </c>
    </row>
    <row r="10181">
      <c r="Y10181" s="6" t="s">
        <v>954</v>
      </c>
    </row>
    <row r="10182">
      <c r="Y10182" s="6" t="s">
        <v>954</v>
      </c>
    </row>
    <row r="10183">
      <c r="Y10183" s="6" t="s">
        <v>954</v>
      </c>
    </row>
    <row r="10184">
      <c r="Y10184" s="6" t="s">
        <v>954</v>
      </c>
    </row>
    <row r="10185">
      <c r="Y10185" s="6" t="s">
        <v>954</v>
      </c>
    </row>
    <row r="10186">
      <c r="Y10186" s="6" t="s">
        <v>954</v>
      </c>
    </row>
    <row r="10187">
      <c r="Y10187" s="6" t="s">
        <v>954</v>
      </c>
    </row>
    <row r="10188">
      <c r="Y10188" s="6" t="s">
        <v>954</v>
      </c>
    </row>
    <row r="10189">
      <c r="Y10189" s="6" t="s">
        <v>954</v>
      </c>
    </row>
    <row r="10190">
      <c r="Y10190" s="6" t="s">
        <v>954</v>
      </c>
    </row>
    <row r="10191">
      <c r="Y10191" s="6" t="s">
        <v>954</v>
      </c>
    </row>
    <row r="10192">
      <c r="Y10192" s="6" t="s">
        <v>954</v>
      </c>
    </row>
    <row r="10193">
      <c r="Y10193" s="6" t="s">
        <v>954</v>
      </c>
    </row>
    <row r="10194">
      <c r="Y10194" s="6" t="s">
        <v>954</v>
      </c>
    </row>
    <row r="10195">
      <c r="Y10195" s="6" t="s">
        <v>954</v>
      </c>
    </row>
    <row r="10196">
      <c r="Y10196" s="6" t="s">
        <v>954</v>
      </c>
    </row>
    <row r="10197">
      <c r="Y10197" s="6" t="s">
        <v>954</v>
      </c>
    </row>
    <row r="10198">
      <c r="Y10198" s="6" t="s">
        <v>954</v>
      </c>
    </row>
    <row r="10199">
      <c r="Y10199" s="6" t="s">
        <v>954</v>
      </c>
    </row>
    <row r="10200">
      <c r="Y10200" s="6" t="s">
        <v>954</v>
      </c>
    </row>
    <row r="10201">
      <c r="Y10201" s="6" t="s">
        <v>954</v>
      </c>
    </row>
    <row r="10202">
      <c r="Y10202" s="6" t="s">
        <v>954</v>
      </c>
    </row>
    <row r="10203">
      <c r="Y10203" s="6" t="s">
        <v>954</v>
      </c>
    </row>
    <row r="10204">
      <c r="Y10204" s="6" t="s">
        <v>954</v>
      </c>
    </row>
    <row r="10205">
      <c r="Y10205" s="6" t="s">
        <v>954</v>
      </c>
    </row>
    <row r="10206">
      <c r="Y10206" s="6" t="s">
        <v>954</v>
      </c>
    </row>
    <row r="10207">
      <c r="Y10207" s="6" t="s">
        <v>954</v>
      </c>
    </row>
    <row r="10208">
      <c r="Y10208" s="6" t="s">
        <v>954</v>
      </c>
    </row>
    <row r="10209">
      <c r="Y10209" s="6" t="s">
        <v>954</v>
      </c>
    </row>
    <row r="10210">
      <c r="Y10210" s="6" t="s">
        <v>954</v>
      </c>
    </row>
    <row r="10211">
      <c r="Y10211" s="6" t="s">
        <v>954</v>
      </c>
    </row>
    <row r="10212">
      <c r="Y10212" s="6" t="s">
        <v>954</v>
      </c>
    </row>
    <row r="10213">
      <c r="Y10213" s="6" t="s">
        <v>954</v>
      </c>
    </row>
    <row r="10214">
      <c r="Y10214" s="6" t="s">
        <v>954</v>
      </c>
    </row>
    <row r="10215">
      <c r="Y10215" s="6" t="s">
        <v>954</v>
      </c>
    </row>
    <row r="10216">
      <c r="Y10216" s="6" t="s">
        <v>954</v>
      </c>
    </row>
    <row r="10217">
      <c r="Y10217" s="6" t="s">
        <v>954</v>
      </c>
    </row>
    <row r="10218">
      <c r="Y10218" s="6" t="s">
        <v>954</v>
      </c>
    </row>
    <row r="10219">
      <c r="Y10219" s="6" t="s">
        <v>954</v>
      </c>
    </row>
    <row r="10220">
      <c r="Y10220" s="6" t="s">
        <v>954</v>
      </c>
    </row>
    <row r="10221">
      <c r="Y10221" s="6" t="s">
        <v>954</v>
      </c>
    </row>
    <row r="10222">
      <c r="Y10222" s="6" t="s">
        <v>954</v>
      </c>
    </row>
    <row r="10223">
      <c r="Y10223" s="6" t="s">
        <v>954</v>
      </c>
    </row>
    <row r="10224">
      <c r="Y10224" s="6" t="s">
        <v>954</v>
      </c>
    </row>
    <row r="10225">
      <c r="Y10225" s="6" t="s">
        <v>954</v>
      </c>
    </row>
    <row r="10226">
      <c r="Y10226" s="6" t="s">
        <v>954</v>
      </c>
    </row>
    <row r="10227">
      <c r="Y10227" s="6" t="s">
        <v>954</v>
      </c>
    </row>
    <row r="10228">
      <c r="Y10228" s="6" t="s">
        <v>954</v>
      </c>
    </row>
    <row r="10229">
      <c r="Y10229" s="6" t="s">
        <v>954</v>
      </c>
    </row>
    <row r="10230">
      <c r="Y10230" s="6" t="s">
        <v>954</v>
      </c>
    </row>
    <row r="10231">
      <c r="Y10231" s="6" t="s">
        <v>954</v>
      </c>
    </row>
    <row r="10232">
      <c r="Y10232" s="6" t="s">
        <v>954</v>
      </c>
    </row>
    <row r="10233">
      <c r="Y10233" s="6" t="s">
        <v>954</v>
      </c>
    </row>
    <row r="10234">
      <c r="Y10234" s="6" t="s">
        <v>954</v>
      </c>
    </row>
    <row r="10235">
      <c r="Y10235" s="6" t="s">
        <v>954</v>
      </c>
    </row>
    <row r="10236">
      <c r="Y10236" s="6" t="s">
        <v>954</v>
      </c>
    </row>
    <row r="10237">
      <c r="Y10237" s="6" t="s">
        <v>954</v>
      </c>
    </row>
    <row r="10238">
      <c r="Y10238" s="6" t="s">
        <v>954</v>
      </c>
    </row>
    <row r="10239">
      <c r="Y10239" s="6" t="s">
        <v>954</v>
      </c>
    </row>
    <row r="10240">
      <c r="Y10240" s="6" t="s">
        <v>954</v>
      </c>
    </row>
    <row r="10241">
      <c r="Y10241" s="6" t="s">
        <v>954</v>
      </c>
    </row>
    <row r="10242">
      <c r="Y10242" s="6" t="s">
        <v>954</v>
      </c>
    </row>
    <row r="10243">
      <c r="Y10243" s="6" t="s">
        <v>954</v>
      </c>
    </row>
    <row r="10244">
      <c r="Y10244" s="6" t="s">
        <v>954</v>
      </c>
    </row>
    <row r="10245">
      <c r="Y10245" s="6" t="s">
        <v>954</v>
      </c>
    </row>
    <row r="10246">
      <c r="Y10246" s="6" t="s">
        <v>954</v>
      </c>
    </row>
    <row r="10247">
      <c r="Y10247" s="6" t="s">
        <v>954</v>
      </c>
    </row>
    <row r="10248">
      <c r="Y10248" s="6" t="s">
        <v>954</v>
      </c>
    </row>
    <row r="10249">
      <c r="Y10249" s="6" t="s">
        <v>954</v>
      </c>
    </row>
    <row r="10250">
      <c r="Y10250" s="6" t="s">
        <v>954</v>
      </c>
    </row>
    <row r="10251">
      <c r="Y10251" s="6" t="s">
        <v>954</v>
      </c>
    </row>
    <row r="10252">
      <c r="Y10252" s="6" t="s">
        <v>954</v>
      </c>
    </row>
    <row r="10253">
      <c r="Y10253" s="6" t="s">
        <v>954</v>
      </c>
    </row>
    <row r="10254">
      <c r="Y10254" s="6" t="s">
        <v>954</v>
      </c>
    </row>
    <row r="10255">
      <c r="Y10255" s="6" t="s">
        <v>954</v>
      </c>
    </row>
    <row r="10256">
      <c r="Y10256" s="6" t="s">
        <v>954</v>
      </c>
    </row>
    <row r="10257">
      <c r="Y10257" s="6" t="s">
        <v>954</v>
      </c>
    </row>
    <row r="10258">
      <c r="Y10258" s="6" t="s">
        <v>954</v>
      </c>
    </row>
    <row r="10259">
      <c r="Y10259" s="6" t="s">
        <v>954</v>
      </c>
    </row>
    <row r="10260">
      <c r="Y10260" s="6" t="s">
        <v>954</v>
      </c>
    </row>
    <row r="10261">
      <c r="Y10261" s="6" t="s">
        <v>954</v>
      </c>
    </row>
    <row r="10262">
      <c r="Y10262" s="6" t="s">
        <v>954</v>
      </c>
    </row>
    <row r="10263">
      <c r="Y10263" s="6" t="s">
        <v>954</v>
      </c>
    </row>
    <row r="10264">
      <c r="Y10264" s="6" t="s">
        <v>954</v>
      </c>
    </row>
    <row r="10265">
      <c r="Y10265" s="6" t="s">
        <v>954</v>
      </c>
    </row>
    <row r="10266">
      <c r="Y10266" s="6" t="s">
        <v>954</v>
      </c>
    </row>
    <row r="10267">
      <c r="Y10267" s="6" t="s">
        <v>954</v>
      </c>
    </row>
    <row r="10268">
      <c r="Y10268" s="6" t="s">
        <v>954</v>
      </c>
    </row>
    <row r="10269">
      <c r="Y10269" s="6" t="s">
        <v>954</v>
      </c>
    </row>
    <row r="10270">
      <c r="Y10270" s="6" t="s">
        <v>954</v>
      </c>
    </row>
    <row r="10271">
      <c r="Y10271" s="6" t="s">
        <v>954</v>
      </c>
    </row>
    <row r="10272">
      <c r="Y10272" s="6" t="s">
        <v>954</v>
      </c>
    </row>
    <row r="10273">
      <c r="Y10273" s="6" t="s">
        <v>954</v>
      </c>
    </row>
    <row r="10274">
      <c r="Y10274" s="6" t="s">
        <v>954</v>
      </c>
    </row>
    <row r="10275">
      <c r="Y10275" s="6" t="s">
        <v>954</v>
      </c>
    </row>
    <row r="10276">
      <c r="Y10276" s="6" t="s">
        <v>954</v>
      </c>
    </row>
    <row r="10277">
      <c r="Y10277" s="6" t="s">
        <v>954</v>
      </c>
    </row>
    <row r="10278">
      <c r="Y10278" s="6" t="s">
        <v>954</v>
      </c>
    </row>
    <row r="10279">
      <c r="Y10279" s="6" t="s">
        <v>954</v>
      </c>
    </row>
    <row r="10280">
      <c r="Y10280" s="6" t="s">
        <v>954</v>
      </c>
    </row>
    <row r="10281">
      <c r="Y10281" s="6" t="s">
        <v>954</v>
      </c>
    </row>
    <row r="10282">
      <c r="Y10282" s="6" t="s">
        <v>954</v>
      </c>
    </row>
    <row r="10283">
      <c r="Y10283" s="6" t="s">
        <v>954</v>
      </c>
    </row>
    <row r="10284">
      <c r="Y10284" s="6" t="s">
        <v>954</v>
      </c>
    </row>
    <row r="10285">
      <c r="Y10285" s="6" t="s">
        <v>954</v>
      </c>
    </row>
    <row r="10286">
      <c r="Y10286" s="6" t="s">
        <v>954</v>
      </c>
    </row>
    <row r="10287">
      <c r="Y10287" s="6" t="s">
        <v>954</v>
      </c>
    </row>
    <row r="10288">
      <c r="Y10288" s="6" t="s">
        <v>954</v>
      </c>
    </row>
    <row r="10289">
      <c r="Y10289" s="6" t="s">
        <v>954</v>
      </c>
    </row>
    <row r="10290">
      <c r="Y10290" s="6" t="s">
        <v>954</v>
      </c>
    </row>
    <row r="10291">
      <c r="Y10291" s="6" t="s">
        <v>954</v>
      </c>
    </row>
    <row r="10292">
      <c r="Y10292" s="6" t="s">
        <v>954</v>
      </c>
    </row>
    <row r="10293">
      <c r="Y10293" s="6" t="s">
        <v>954</v>
      </c>
    </row>
    <row r="10294">
      <c r="Y10294" s="6" t="s">
        <v>954</v>
      </c>
    </row>
    <row r="10295">
      <c r="Y10295" s="6" t="s">
        <v>954</v>
      </c>
    </row>
    <row r="10296">
      <c r="Y10296" s="6" t="s">
        <v>954</v>
      </c>
    </row>
    <row r="10297">
      <c r="Y10297" s="6" t="s">
        <v>954</v>
      </c>
    </row>
    <row r="10298">
      <c r="Y10298" s="6" t="s">
        <v>954</v>
      </c>
    </row>
    <row r="10299">
      <c r="Y10299" s="6" t="s">
        <v>954</v>
      </c>
    </row>
    <row r="10300">
      <c r="Y10300" s="6" t="s">
        <v>954</v>
      </c>
    </row>
    <row r="10301">
      <c r="Y10301" s="6" t="s">
        <v>954</v>
      </c>
    </row>
    <row r="10302">
      <c r="Y10302" s="6" t="s">
        <v>954</v>
      </c>
    </row>
    <row r="10303">
      <c r="Y10303" s="6" t="s">
        <v>954</v>
      </c>
    </row>
    <row r="10304">
      <c r="Y10304" s="6" t="s">
        <v>954</v>
      </c>
    </row>
    <row r="10305">
      <c r="Y10305" s="6" t="s">
        <v>954</v>
      </c>
    </row>
    <row r="10306">
      <c r="Y10306" s="6" t="s">
        <v>954</v>
      </c>
    </row>
    <row r="10307">
      <c r="Y10307" s="6" t="s">
        <v>954</v>
      </c>
    </row>
    <row r="10308">
      <c r="Y10308" s="6" t="s">
        <v>954</v>
      </c>
    </row>
    <row r="10309">
      <c r="Y10309" s="6" t="s">
        <v>954</v>
      </c>
    </row>
    <row r="10310">
      <c r="Y10310" s="6" t="s">
        <v>954</v>
      </c>
    </row>
    <row r="10311">
      <c r="Y10311" s="6" t="s">
        <v>954</v>
      </c>
    </row>
    <row r="10312">
      <c r="Y10312" s="6" t="s">
        <v>954</v>
      </c>
    </row>
    <row r="10313">
      <c r="Y10313" s="6" t="s">
        <v>954</v>
      </c>
    </row>
    <row r="10314">
      <c r="Y10314" s="6" t="s">
        <v>954</v>
      </c>
    </row>
    <row r="10315">
      <c r="Y10315" s="6" t="s">
        <v>954</v>
      </c>
    </row>
    <row r="10316">
      <c r="Y10316" s="6" t="s">
        <v>954</v>
      </c>
    </row>
    <row r="10317">
      <c r="Y10317" s="6" t="s">
        <v>954</v>
      </c>
    </row>
    <row r="10318">
      <c r="Y10318" s="6" t="s">
        <v>954</v>
      </c>
    </row>
    <row r="10319">
      <c r="Y10319" s="6" t="s">
        <v>954</v>
      </c>
    </row>
    <row r="10320">
      <c r="Y10320" s="6" t="s">
        <v>954</v>
      </c>
    </row>
    <row r="10321">
      <c r="Y10321" s="6" t="s">
        <v>954</v>
      </c>
    </row>
    <row r="10322">
      <c r="Y10322" s="6" t="s">
        <v>954</v>
      </c>
    </row>
    <row r="10323">
      <c r="Y10323" s="6" t="s">
        <v>954</v>
      </c>
    </row>
    <row r="10324">
      <c r="Y10324" s="6" t="s">
        <v>954</v>
      </c>
    </row>
    <row r="10325">
      <c r="Y10325" s="6" t="s">
        <v>954</v>
      </c>
    </row>
    <row r="10326">
      <c r="Y10326" s="6" t="s">
        <v>954</v>
      </c>
    </row>
    <row r="10327">
      <c r="Y10327" s="6" t="s">
        <v>954</v>
      </c>
    </row>
    <row r="10328">
      <c r="Y10328" s="6" t="s">
        <v>954</v>
      </c>
    </row>
    <row r="10329">
      <c r="Y10329" s="6" t="s">
        <v>954</v>
      </c>
    </row>
    <row r="10330">
      <c r="Y10330" s="6" t="s">
        <v>954</v>
      </c>
    </row>
    <row r="10331">
      <c r="Y10331" s="6" t="s">
        <v>954</v>
      </c>
    </row>
    <row r="10332">
      <c r="Y10332" s="6" t="s">
        <v>954</v>
      </c>
    </row>
    <row r="10333">
      <c r="Y10333" s="6" t="s">
        <v>954</v>
      </c>
    </row>
    <row r="10334">
      <c r="Y10334" s="6" t="s">
        <v>954</v>
      </c>
    </row>
    <row r="10335">
      <c r="Y10335" s="6" t="s">
        <v>954</v>
      </c>
    </row>
    <row r="10336">
      <c r="Y10336" s="6" t="s">
        <v>954</v>
      </c>
    </row>
    <row r="10337">
      <c r="Y10337" s="6" t="s">
        <v>954</v>
      </c>
    </row>
    <row r="10338">
      <c r="Y10338" s="6" t="s">
        <v>954</v>
      </c>
    </row>
    <row r="10339">
      <c r="Y10339" s="6" t="s">
        <v>954</v>
      </c>
    </row>
    <row r="10340">
      <c r="Y10340" s="6" t="s">
        <v>954</v>
      </c>
    </row>
    <row r="10341">
      <c r="Y10341" s="6" t="s">
        <v>954</v>
      </c>
    </row>
    <row r="10342">
      <c r="Y10342" s="6" t="s">
        <v>954</v>
      </c>
    </row>
    <row r="10343">
      <c r="Y10343" s="6" t="s">
        <v>954</v>
      </c>
    </row>
    <row r="10344">
      <c r="Y10344" s="6" t="s">
        <v>954</v>
      </c>
    </row>
    <row r="10345">
      <c r="Y10345" s="6" t="s">
        <v>954</v>
      </c>
    </row>
    <row r="10346">
      <c r="Y10346" s="6" t="s">
        <v>954</v>
      </c>
    </row>
    <row r="10347">
      <c r="Y10347" s="6" t="s">
        <v>954</v>
      </c>
    </row>
    <row r="10348">
      <c r="Y10348" s="6" t="s">
        <v>954</v>
      </c>
    </row>
    <row r="10349">
      <c r="Y10349" s="6" t="s">
        <v>954</v>
      </c>
    </row>
    <row r="10350">
      <c r="Y10350" s="6" t="s">
        <v>954</v>
      </c>
    </row>
    <row r="10351">
      <c r="Y10351" s="6" t="s">
        <v>954</v>
      </c>
    </row>
    <row r="10352">
      <c r="Y10352" s="6" t="s">
        <v>954</v>
      </c>
    </row>
    <row r="10353">
      <c r="Y10353" s="6" t="s">
        <v>954</v>
      </c>
    </row>
    <row r="10354">
      <c r="Y10354" s="6" t="s">
        <v>954</v>
      </c>
    </row>
    <row r="10355">
      <c r="Y10355" s="6" t="s">
        <v>954</v>
      </c>
    </row>
    <row r="10356">
      <c r="Y10356" s="6" t="s">
        <v>954</v>
      </c>
    </row>
    <row r="10357">
      <c r="Y10357" s="6" t="s">
        <v>954</v>
      </c>
    </row>
    <row r="10358">
      <c r="Y10358" s="6" t="s">
        <v>954</v>
      </c>
    </row>
    <row r="10359">
      <c r="Y10359" s="6" t="s">
        <v>954</v>
      </c>
    </row>
    <row r="10360">
      <c r="Y10360" s="6" t="s">
        <v>954</v>
      </c>
    </row>
    <row r="10361">
      <c r="Y10361" s="6" t="s">
        <v>954</v>
      </c>
    </row>
    <row r="10362">
      <c r="Y10362" s="6" t="s">
        <v>954</v>
      </c>
    </row>
    <row r="10363">
      <c r="Y10363" s="6" t="s">
        <v>954</v>
      </c>
    </row>
    <row r="10364">
      <c r="Y10364" s="6" t="s">
        <v>954</v>
      </c>
    </row>
    <row r="10365">
      <c r="Y10365" s="6" t="s">
        <v>954</v>
      </c>
    </row>
    <row r="10366">
      <c r="Y10366" s="6" t="s">
        <v>954</v>
      </c>
    </row>
    <row r="10367">
      <c r="Y10367" s="6" t="s">
        <v>954</v>
      </c>
    </row>
    <row r="10368">
      <c r="Y10368" s="6" t="s">
        <v>954</v>
      </c>
    </row>
    <row r="10369">
      <c r="Y10369" s="6" t="s">
        <v>954</v>
      </c>
    </row>
    <row r="10370">
      <c r="Y10370" s="6" t="s">
        <v>954</v>
      </c>
    </row>
    <row r="10371">
      <c r="Y10371" s="6" t="s">
        <v>954</v>
      </c>
    </row>
    <row r="10372">
      <c r="Y10372" s="6" t="s">
        <v>954</v>
      </c>
    </row>
    <row r="10373">
      <c r="Y10373" s="6" t="s">
        <v>954</v>
      </c>
    </row>
    <row r="10374">
      <c r="Y10374" s="6" t="s">
        <v>954</v>
      </c>
    </row>
    <row r="10375">
      <c r="Y10375" s="6" t="s">
        <v>954</v>
      </c>
    </row>
    <row r="10376">
      <c r="Y10376" s="6" t="s">
        <v>954</v>
      </c>
    </row>
    <row r="10377">
      <c r="Y10377" s="6" t="s">
        <v>954</v>
      </c>
    </row>
    <row r="10378">
      <c r="Y10378" s="6" t="s">
        <v>954</v>
      </c>
    </row>
    <row r="10379">
      <c r="Y10379" s="6" t="s">
        <v>954</v>
      </c>
    </row>
    <row r="10380">
      <c r="Y10380" s="6" t="s">
        <v>954</v>
      </c>
    </row>
    <row r="10381">
      <c r="Y10381" s="6" t="s">
        <v>954</v>
      </c>
    </row>
    <row r="10382">
      <c r="Y10382" s="6" t="s">
        <v>954</v>
      </c>
    </row>
    <row r="10383">
      <c r="Y10383" s="6" t="s">
        <v>954</v>
      </c>
    </row>
    <row r="10384">
      <c r="Y10384" s="6" t="s">
        <v>954</v>
      </c>
    </row>
    <row r="10385">
      <c r="Y10385" s="6" t="s">
        <v>954</v>
      </c>
    </row>
    <row r="10386">
      <c r="Y10386" s="6" t="s">
        <v>954</v>
      </c>
    </row>
    <row r="10387">
      <c r="Y10387" s="6" t="s">
        <v>954</v>
      </c>
    </row>
    <row r="10388">
      <c r="Y10388" s="6" t="s">
        <v>954</v>
      </c>
    </row>
    <row r="10389">
      <c r="Y10389" s="6" t="s">
        <v>954</v>
      </c>
    </row>
    <row r="10390">
      <c r="Y10390" s="6" t="s">
        <v>954</v>
      </c>
    </row>
    <row r="10391">
      <c r="Y10391" s="6" t="s">
        <v>954</v>
      </c>
    </row>
    <row r="10392">
      <c r="Y10392" s="6" t="s">
        <v>954</v>
      </c>
    </row>
    <row r="10393">
      <c r="Y10393" s="6" t="s">
        <v>954</v>
      </c>
    </row>
    <row r="10394">
      <c r="Y10394" s="6" t="s">
        <v>954</v>
      </c>
    </row>
    <row r="10395">
      <c r="Y10395" s="6" t="s">
        <v>954</v>
      </c>
    </row>
    <row r="10396">
      <c r="Y10396" s="6" t="s">
        <v>954</v>
      </c>
    </row>
    <row r="10397">
      <c r="Y10397" s="6" t="s">
        <v>954</v>
      </c>
    </row>
    <row r="10398">
      <c r="Y10398" s="6" t="s">
        <v>954</v>
      </c>
    </row>
    <row r="10399">
      <c r="Y10399" s="6" t="s">
        <v>954</v>
      </c>
    </row>
    <row r="10400">
      <c r="Y10400" s="6" t="s">
        <v>954</v>
      </c>
    </row>
    <row r="10401">
      <c r="Y10401" s="6" t="s">
        <v>954</v>
      </c>
    </row>
    <row r="10402">
      <c r="Y10402" s="6" t="s">
        <v>954</v>
      </c>
    </row>
    <row r="10403">
      <c r="Y10403" s="6" t="s">
        <v>954</v>
      </c>
    </row>
    <row r="10404">
      <c r="Y10404" s="6" t="s">
        <v>954</v>
      </c>
    </row>
    <row r="10405">
      <c r="Y10405" s="6" t="s">
        <v>954</v>
      </c>
    </row>
    <row r="10406">
      <c r="Y10406" s="6" t="s">
        <v>954</v>
      </c>
    </row>
    <row r="10407">
      <c r="Y10407" s="6" t="s">
        <v>954</v>
      </c>
    </row>
    <row r="10408">
      <c r="Y10408" s="6" t="s">
        <v>954</v>
      </c>
    </row>
    <row r="10409">
      <c r="Y10409" s="6" t="s">
        <v>954</v>
      </c>
    </row>
    <row r="10410">
      <c r="Y10410" s="6" t="s">
        <v>954</v>
      </c>
    </row>
    <row r="10411">
      <c r="Y10411" s="6" t="s">
        <v>954</v>
      </c>
    </row>
    <row r="10412">
      <c r="Y10412" s="6" t="s">
        <v>954</v>
      </c>
    </row>
    <row r="10413">
      <c r="Y10413" s="6" t="s">
        <v>954</v>
      </c>
    </row>
    <row r="10414">
      <c r="Y10414" s="6" t="s">
        <v>954</v>
      </c>
    </row>
    <row r="10415">
      <c r="Y10415" s="6" t="s">
        <v>954</v>
      </c>
    </row>
    <row r="10416">
      <c r="Y10416" s="6" t="s">
        <v>954</v>
      </c>
    </row>
    <row r="10417">
      <c r="Y10417" s="6" t="s">
        <v>954</v>
      </c>
    </row>
    <row r="10418">
      <c r="Y10418" s="6" t="s">
        <v>954</v>
      </c>
    </row>
    <row r="10419">
      <c r="Y10419" s="6" t="s">
        <v>954</v>
      </c>
    </row>
    <row r="10420">
      <c r="Y10420" s="6" t="s">
        <v>954</v>
      </c>
    </row>
    <row r="10421">
      <c r="Y10421" s="6" t="s">
        <v>954</v>
      </c>
    </row>
    <row r="10422">
      <c r="Y10422" s="6" t="s">
        <v>954</v>
      </c>
    </row>
    <row r="10423">
      <c r="Y10423" s="6" t="s">
        <v>954</v>
      </c>
    </row>
    <row r="10424">
      <c r="Y10424" s="6" t="s">
        <v>954</v>
      </c>
    </row>
    <row r="10425">
      <c r="Y10425" s="6" t="s">
        <v>954</v>
      </c>
    </row>
    <row r="10426">
      <c r="Y10426" s="6" t="s">
        <v>954</v>
      </c>
    </row>
    <row r="10427">
      <c r="Y10427" s="6" t="s">
        <v>954</v>
      </c>
    </row>
    <row r="10428">
      <c r="Y10428" s="6" t="s">
        <v>954</v>
      </c>
    </row>
    <row r="10429">
      <c r="Y10429" s="6" t="s">
        <v>954</v>
      </c>
    </row>
    <row r="10430">
      <c r="Y10430" s="6" t="s">
        <v>954</v>
      </c>
    </row>
    <row r="10431">
      <c r="Y10431" s="6" t="s">
        <v>954</v>
      </c>
    </row>
    <row r="10432">
      <c r="Y10432" s="6" t="s">
        <v>954</v>
      </c>
    </row>
    <row r="10433">
      <c r="Y10433" s="6" t="s">
        <v>954</v>
      </c>
    </row>
    <row r="10434">
      <c r="Y10434" s="6" t="s">
        <v>954</v>
      </c>
    </row>
    <row r="10435">
      <c r="Y10435" s="6" t="s">
        <v>954</v>
      </c>
    </row>
    <row r="10436">
      <c r="Y10436" s="6" t="s">
        <v>954</v>
      </c>
    </row>
    <row r="10437">
      <c r="Y10437" s="6" t="s">
        <v>954</v>
      </c>
    </row>
    <row r="10438">
      <c r="Y10438" s="6" t="s">
        <v>954</v>
      </c>
    </row>
    <row r="10439">
      <c r="Y10439" s="6" t="s">
        <v>954</v>
      </c>
    </row>
    <row r="10440">
      <c r="Y10440" s="6" t="s">
        <v>954</v>
      </c>
    </row>
    <row r="10441">
      <c r="Y10441" s="6" t="s">
        <v>954</v>
      </c>
    </row>
    <row r="10442">
      <c r="Y10442" s="6" t="s">
        <v>954</v>
      </c>
    </row>
    <row r="10443">
      <c r="Y10443" s="6" t="s">
        <v>954</v>
      </c>
    </row>
    <row r="10444">
      <c r="Y10444" s="6" t="s">
        <v>954</v>
      </c>
    </row>
    <row r="10445">
      <c r="Y10445" s="6" t="s">
        <v>954</v>
      </c>
    </row>
    <row r="10446">
      <c r="Y10446" s="6" t="s">
        <v>954</v>
      </c>
    </row>
    <row r="10447">
      <c r="Y10447" s="6" t="s">
        <v>954</v>
      </c>
    </row>
    <row r="10448">
      <c r="Y10448" s="6" t="s">
        <v>954</v>
      </c>
    </row>
    <row r="10449">
      <c r="Y10449" s="6" t="s">
        <v>954</v>
      </c>
    </row>
    <row r="10450">
      <c r="Y10450" s="6" t="s">
        <v>954</v>
      </c>
    </row>
    <row r="10451">
      <c r="Y10451" s="6" t="s">
        <v>954</v>
      </c>
    </row>
    <row r="10452">
      <c r="Y10452" s="6" t="s">
        <v>954</v>
      </c>
    </row>
    <row r="10453">
      <c r="Y10453" s="6" t="s">
        <v>954</v>
      </c>
    </row>
    <row r="10454">
      <c r="Y10454" s="6" t="s">
        <v>954</v>
      </c>
    </row>
    <row r="10455">
      <c r="Y10455" s="6" t="s">
        <v>954</v>
      </c>
    </row>
    <row r="10456">
      <c r="Y10456" s="6" t="s">
        <v>954</v>
      </c>
    </row>
    <row r="10457">
      <c r="Y10457" s="6" t="s">
        <v>954</v>
      </c>
    </row>
    <row r="10458">
      <c r="Y10458" s="6" t="s">
        <v>954</v>
      </c>
    </row>
    <row r="10459">
      <c r="Y10459" s="6" t="s">
        <v>954</v>
      </c>
    </row>
    <row r="10460">
      <c r="Y10460" s="6" t="s">
        <v>954</v>
      </c>
    </row>
    <row r="10461">
      <c r="Y10461" s="6" t="s">
        <v>954</v>
      </c>
    </row>
    <row r="10462">
      <c r="Y10462" s="6" t="s">
        <v>954</v>
      </c>
    </row>
    <row r="10463">
      <c r="Y10463" s="6" t="s">
        <v>954</v>
      </c>
    </row>
    <row r="10464">
      <c r="Y10464" s="6" t="s">
        <v>954</v>
      </c>
    </row>
    <row r="10465">
      <c r="Y10465" s="6" t="s">
        <v>954</v>
      </c>
    </row>
    <row r="10466">
      <c r="Y10466" s="6" t="s">
        <v>954</v>
      </c>
    </row>
    <row r="10467">
      <c r="Y10467" s="6" t="s">
        <v>954</v>
      </c>
    </row>
    <row r="10468">
      <c r="Y10468" s="6" t="s">
        <v>954</v>
      </c>
    </row>
    <row r="10469">
      <c r="Y10469" s="6" t="s">
        <v>954</v>
      </c>
    </row>
    <row r="10470">
      <c r="Y10470" s="6" t="s">
        <v>954</v>
      </c>
    </row>
    <row r="10471">
      <c r="Y10471" s="6" t="s">
        <v>954</v>
      </c>
    </row>
    <row r="10472">
      <c r="Y10472" s="6" t="s">
        <v>954</v>
      </c>
    </row>
    <row r="10473">
      <c r="Y10473" s="6" t="s">
        <v>954</v>
      </c>
    </row>
    <row r="10474">
      <c r="Y10474" s="6" t="s">
        <v>954</v>
      </c>
    </row>
    <row r="10475">
      <c r="Y10475" s="6" t="s">
        <v>954</v>
      </c>
    </row>
    <row r="10476">
      <c r="Y10476" s="6" t="s">
        <v>954</v>
      </c>
    </row>
    <row r="10477">
      <c r="Y10477" s="6" t="s">
        <v>954</v>
      </c>
    </row>
    <row r="10478">
      <c r="Y10478" s="6" t="s">
        <v>954</v>
      </c>
    </row>
    <row r="10479">
      <c r="Y10479" s="6" t="s">
        <v>954</v>
      </c>
    </row>
    <row r="10480">
      <c r="Y10480" s="6" t="s">
        <v>954</v>
      </c>
    </row>
    <row r="10481">
      <c r="Y10481" s="6" t="s">
        <v>954</v>
      </c>
    </row>
    <row r="10482">
      <c r="Y10482" s="6" t="s">
        <v>954</v>
      </c>
    </row>
    <row r="10483">
      <c r="Y10483" s="6" t="s">
        <v>954</v>
      </c>
    </row>
    <row r="10484">
      <c r="Y10484" s="6" t="s">
        <v>954</v>
      </c>
    </row>
    <row r="10485">
      <c r="Y10485" s="6" t="s">
        <v>954</v>
      </c>
    </row>
    <row r="10486">
      <c r="Y10486" s="6" t="s">
        <v>954</v>
      </c>
    </row>
    <row r="10487">
      <c r="Y10487" s="6" t="s">
        <v>954</v>
      </c>
    </row>
    <row r="10488">
      <c r="Y10488" s="6" t="s">
        <v>954</v>
      </c>
    </row>
    <row r="10489">
      <c r="Y10489" s="6" t="s">
        <v>954</v>
      </c>
    </row>
    <row r="10490">
      <c r="Y10490" s="6" t="s">
        <v>954</v>
      </c>
    </row>
    <row r="10491">
      <c r="Y10491" s="6" t="s">
        <v>954</v>
      </c>
    </row>
    <row r="10492">
      <c r="Y10492" s="6" t="s">
        <v>954</v>
      </c>
    </row>
    <row r="10493">
      <c r="Y10493" s="6" t="s">
        <v>954</v>
      </c>
    </row>
    <row r="10494">
      <c r="Y10494" s="6" t="s">
        <v>954</v>
      </c>
    </row>
    <row r="10495">
      <c r="Y10495" s="6" t="s">
        <v>954</v>
      </c>
    </row>
    <row r="10496">
      <c r="Y10496" s="6" t="s">
        <v>954</v>
      </c>
    </row>
    <row r="10497">
      <c r="Y10497" s="6" t="s">
        <v>954</v>
      </c>
    </row>
    <row r="10498">
      <c r="Y10498" s="6" t="s">
        <v>954</v>
      </c>
    </row>
    <row r="10499">
      <c r="Y10499" s="6" t="s">
        <v>954</v>
      </c>
    </row>
    <row r="10500">
      <c r="Y10500" s="6" t="s">
        <v>954</v>
      </c>
    </row>
    <row r="10501">
      <c r="Y10501" s="6" t="s">
        <v>954</v>
      </c>
    </row>
    <row r="10502">
      <c r="Y10502" s="6" t="s">
        <v>954</v>
      </c>
    </row>
    <row r="10503">
      <c r="Y10503" s="6" t="s">
        <v>954</v>
      </c>
    </row>
    <row r="10504">
      <c r="Y10504" s="6" t="s">
        <v>954</v>
      </c>
    </row>
    <row r="10505">
      <c r="Y10505" s="6" t="s">
        <v>954</v>
      </c>
    </row>
    <row r="10506">
      <c r="Y10506" s="6" t="s">
        <v>954</v>
      </c>
    </row>
    <row r="10507">
      <c r="Y10507" s="6" t="s">
        <v>954</v>
      </c>
    </row>
    <row r="10508">
      <c r="Y10508" s="6" t="s">
        <v>954</v>
      </c>
    </row>
    <row r="10509">
      <c r="Y10509" s="6" t="s">
        <v>954</v>
      </c>
    </row>
    <row r="10510">
      <c r="Y10510" s="6" t="s">
        <v>954</v>
      </c>
    </row>
    <row r="10511">
      <c r="Y10511" s="6" t="s">
        <v>954</v>
      </c>
    </row>
    <row r="10512">
      <c r="Y10512" s="6" t="s">
        <v>954</v>
      </c>
    </row>
    <row r="10513">
      <c r="Y10513" s="6" t="s">
        <v>954</v>
      </c>
    </row>
    <row r="10514">
      <c r="Y10514" s="6" t="s">
        <v>954</v>
      </c>
    </row>
    <row r="10515">
      <c r="Y10515" s="6" t="s">
        <v>954</v>
      </c>
    </row>
    <row r="10516">
      <c r="Y10516" s="6" t="s">
        <v>954</v>
      </c>
    </row>
    <row r="10517">
      <c r="Y10517" s="6" t="s">
        <v>954</v>
      </c>
    </row>
    <row r="10518">
      <c r="Y10518" s="6" t="s">
        <v>954</v>
      </c>
    </row>
    <row r="10519">
      <c r="Y10519" s="6" t="s">
        <v>954</v>
      </c>
    </row>
    <row r="10520">
      <c r="Y10520" s="6" t="s">
        <v>954</v>
      </c>
    </row>
    <row r="10521">
      <c r="Y10521" s="6" t="s">
        <v>954</v>
      </c>
    </row>
    <row r="10522">
      <c r="Y10522" s="6" t="s">
        <v>954</v>
      </c>
    </row>
    <row r="10523">
      <c r="Y10523" s="6" t="s">
        <v>954</v>
      </c>
    </row>
    <row r="10524">
      <c r="Y10524" s="6" t="s">
        <v>954</v>
      </c>
    </row>
    <row r="10525">
      <c r="Y10525" s="6" t="s">
        <v>954</v>
      </c>
    </row>
    <row r="10526">
      <c r="Y10526" s="6" t="s">
        <v>954</v>
      </c>
    </row>
    <row r="10527">
      <c r="Y10527" s="6" t="s">
        <v>954</v>
      </c>
    </row>
    <row r="10528">
      <c r="Y10528" s="6" t="s">
        <v>954</v>
      </c>
    </row>
    <row r="10529">
      <c r="Y10529" s="6" t="s">
        <v>954</v>
      </c>
    </row>
    <row r="10530">
      <c r="Y10530" s="6" t="s">
        <v>954</v>
      </c>
    </row>
    <row r="10531">
      <c r="Y10531" s="6" t="s">
        <v>954</v>
      </c>
    </row>
    <row r="10532">
      <c r="Y10532" s="6" t="s">
        <v>954</v>
      </c>
    </row>
    <row r="10533">
      <c r="Y10533" s="6" t="s">
        <v>954</v>
      </c>
    </row>
    <row r="10534">
      <c r="Y10534" s="6" t="s">
        <v>954</v>
      </c>
    </row>
    <row r="10535">
      <c r="Y10535" s="6" t="s">
        <v>954</v>
      </c>
    </row>
    <row r="10536">
      <c r="Y10536" s="6" t="s">
        <v>954</v>
      </c>
    </row>
    <row r="10537">
      <c r="Y10537" s="6" t="s">
        <v>954</v>
      </c>
    </row>
    <row r="10538">
      <c r="Y10538" s="6" t="s">
        <v>954</v>
      </c>
    </row>
    <row r="10539">
      <c r="Y10539" s="6" t="s">
        <v>954</v>
      </c>
    </row>
    <row r="10540">
      <c r="Y10540" s="6" t="s">
        <v>954</v>
      </c>
    </row>
    <row r="10541">
      <c r="Y10541" s="6" t="s">
        <v>954</v>
      </c>
    </row>
    <row r="10542">
      <c r="Y10542" s="6" t="s">
        <v>954</v>
      </c>
    </row>
    <row r="10543">
      <c r="Y10543" s="6" t="s">
        <v>954</v>
      </c>
    </row>
    <row r="10544">
      <c r="Y10544" s="6" t="s">
        <v>954</v>
      </c>
    </row>
    <row r="10545">
      <c r="Y10545" s="6" t="s">
        <v>954</v>
      </c>
    </row>
    <row r="10546">
      <c r="Y10546" s="6" t="s">
        <v>954</v>
      </c>
    </row>
    <row r="10547">
      <c r="Y10547" s="6" t="s">
        <v>954</v>
      </c>
    </row>
    <row r="10548">
      <c r="Y10548" s="6" t="s">
        <v>954</v>
      </c>
    </row>
    <row r="10549">
      <c r="Y10549" s="6" t="s">
        <v>954</v>
      </c>
    </row>
    <row r="10550">
      <c r="Y10550" s="6" t="s">
        <v>954</v>
      </c>
    </row>
    <row r="10551">
      <c r="Y10551" s="6" t="s">
        <v>954</v>
      </c>
    </row>
    <row r="10552">
      <c r="Y10552" s="6" t="s">
        <v>954</v>
      </c>
    </row>
    <row r="10553">
      <c r="Y10553" s="6" t="s">
        <v>954</v>
      </c>
    </row>
    <row r="10554">
      <c r="Y10554" s="6" t="s">
        <v>954</v>
      </c>
    </row>
    <row r="10555">
      <c r="Y10555" s="6" t="s">
        <v>954</v>
      </c>
    </row>
    <row r="10556">
      <c r="Y10556" s="6" t="s">
        <v>954</v>
      </c>
    </row>
    <row r="10557">
      <c r="Y10557" s="6" t="s">
        <v>954</v>
      </c>
    </row>
    <row r="10558">
      <c r="Y10558" s="6" t="s">
        <v>954</v>
      </c>
    </row>
    <row r="10559">
      <c r="Y10559" s="6" t="s">
        <v>954</v>
      </c>
    </row>
    <row r="10560">
      <c r="Y10560" s="6" t="s">
        <v>954</v>
      </c>
    </row>
    <row r="10561">
      <c r="Y10561" s="6" t="s">
        <v>954</v>
      </c>
    </row>
    <row r="10562">
      <c r="Y10562" s="6" t="s">
        <v>954</v>
      </c>
    </row>
    <row r="10563">
      <c r="Y10563" s="6" t="s">
        <v>954</v>
      </c>
    </row>
    <row r="10564">
      <c r="Y10564" s="6" t="s">
        <v>954</v>
      </c>
    </row>
    <row r="10565">
      <c r="Y10565" s="6" t="s">
        <v>954</v>
      </c>
    </row>
    <row r="10566">
      <c r="Y10566" s="6" t="s">
        <v>954</v>
      </c>
    </row>
    <row r="10567">
      <c r="Y10567" s="6" t="s">
        <v>954</v>
      </c>
    </row>
    <row r="10568">
      <c r="Y10568" s="6" t="s">
        <v>954</v>
      </c>
    </row>
    <row r="10569">
      <c r="Y10569" s="6" t="s">
        <v>954</v>
      </c>
    </row>
    <row r="10570">
      <c r="Y10570" s="6" t="s">
        <v>954</v>
      </c>
    </row>
    <row r="10571">
      <c r="Y10571" s="6" t="s">
        <v>954</v>
      </c>
    </row>
    <row r="10572">
      <c r="Y10572" s="6" t="s">
        <v>954</v>
      </c>
    </row>
    <row r="10573">
      <c r="Y10573" s="6" t="s">
        <v>954</v>
      </c>
    </row>
    <row r="10574">
      <c r="Y10574" s="6" t="s">
        <v>954</v>
      </c>
    </row>
    <row r="10575">
      <c r="Y10575" s="6" t="s">
        <v>954</v>
      </c>
    </row>
    <row r="10576">
      <c r="Y10576" s="6" t="s">
        <v>954</v>
      </c>
    </row>
    <row r="10577">
      <c r="Y10577" s="6" t="s">
        <v>954</v>
      </c>
    </row>
    <row r="10578">
      <c r="Y10578" s="6" t="s">
        <v>954</v>
      </c>
    </row>
    <row r="10579">
      <c r="Y10579" s="6" t="s">
        <v>954</v>
      </c>
    </row>
    <row r="10580">
      <c r="Y10580" s="6" t="s">
        <v>954</v>
      </c>
    </row>
    <row r="10581">
      <c r="Y10581" s="6" t="s">
        <v>954</v>
      </c>
    </row>
    <row r="10582">
      <c r="Y10582" s="6" t="s">
        <v>954</v>
      </c>
    </row>
    <row r="10583">
      <c r="Y10583" s="6" t="s">
        <v>954</v>
      </c>
    </row>
    <row r="10584">
      <c r="Y10584" s="6" t="s">
        <v>954</v>
      </c>
    </row>
    <row r="10585">
      <c r="Y10585" s="6" t="s">
        <v>954</v>
      </c>
    </row>
    <row r="10586">
      <c r="Y10586" s="6" t="s">
        <v>954</v>
      </c>
    </row>
    <row r="10587">
      <c r="Y10587" s="6" t="s">
        <v>954</v>
      </c>
    </row>
    <row r="10588">
      <c r="Y10588" s="6" t="s">
        <v>954</v>
      </c>
    </row>
    <row r="10589">
      <c r="Y10589" s="6" t="s">
        <v>954</v>
      </c>
    </row>
    <row r="10590">
      <c r="Y10590" s="6" t="s">
        <v>954</v>
      </c>
    </row>
    <row r="10591">
      <c r="Y10591" s="6" t="s">
        <v>954</v>
      </c>
    </row>
    <row r="10592">
      <c r="Y10592" s="6" t="s">
        <v>954</v>
      </c>
    </row>
    <row r="10593">
      <c r="Y10593" s="6" t="s">
        <v>954</v>
      </c>
    </row>
    <row r="10594">
      <c r="Y10594" s="6" t="s">
        <v>954</v>
      </c>
    </row>
    <row r="10595">
      <c r="Y10595" s="6" t="s">
        <v>954</v>
      </c>
    </row>
    <row r="10596">
      <c r="Y10596" s="6" t="s">
        <v>954</v>
      </c>
    </row>
    <row r="10597">
      <c r="Y10597" s="6" t="s">
        <v>954</v>
      </c>
    </row>
    <row r="10598">
      <c r="Y10598" s="6" t="s">
        <v>954</v>
      </c>
    </row>
    <row r="10599">
      <c r="Y10599" s="6" t="s">
        <v>954</v>
      </c>
    </row>
    <row r="10600">
      <c r="Y10600" s="6" t="s">
        <v>954</v>
      </c>
    </row>
    <row r="10601">
      <c r="Y10601" s="6" t="s">
        <v>954</v>
      </c>
    </row>
    <row r="10602">
      <c r="Y10602" s="6" t="s">
        <v>954</v>
      </c>
    </row>
    <row r="10603">
      <c r="Y10603" s="6" t="s">
        <v>954</v>
      </c>
    </row>
    <row r="10604">
      <c r="Y10604" s="6" t="s">
        <v>954</v>
      </c>
    </row>
    <row r="10605">
      <c r="Y10605" s="6" t="s">
        <v>954</v>
      </c>
    </row>
    <row r="10606">
      <c r="Y10606" s="6" t="s">
        <v>954</v>
      </c>
    </row>
    <row r="10607">
      <c r="Y10607" s="6" t="s">
        <v>954</v>
      </c>
    </row>
    <row r="10608">
      <c r="Y10608" s="6" t="s">
        <v>954</v>
      </c>
    </row>
    <row r="10609">
      <c r="Y10609" s="6" t="s">
        <v>954</v>
      </c>
    </row>
    <row r="10610">
      <c r="Y10610" s="6" t="s">
        <v>954</v>
      </c>
    </row>
    <row r="10611">
      <c r="Y10611" s="6" t="s">
        <v>954</v>
      </c>
    </row>
    <row r="10612">
      <c r="Y10612" s="6" t="s">
        <v>954</v>
      </c>
    </row>
    <row r="10613">
      <c r="Y10613" s="6" t="s">
        <v>954</v>
      </c>
    </row>
    <row r="10614">
      <c r="Y10614" s="6" t="s">
        <v>954</v>
      </c>
    </row>
    <row r="10615">
      <c r="Y10615" s="6" t="s">
        <v>954</v>
      </c>
    </row>
    <row r="10616">
      <c r="Y10616" s="6" t="s">
        <v>954</v>
      </c>
    </row>
    <row r="10617">
      <c r="Y10617" s="6" t="s">
        <v>954</v>
      </c>
    </row>
    <row r="10618">
      <c r="Y10618" s="6" t="s">
        <v>954</v>
      </c>
    </row>
    <row r="10619">
      <c r="Y10619" s="6" t="s">
        <v>954</v>
      </c>
    </row>
    <row r="10620">
      <c r="Y10620" s="6" t="s">
        <v>954</v>
      </c>
    </row>
    <row r="10621">
      <c r="Y10621" s="6" t="s">
        <v>954</v>
      </c>
    </row>
    <row r="10622">
      <c r="Y10622" s="6" t="s">
        <v>954</v>
      </c>
    </row>
    <row r="10623">
      <c r="Y10623" s="6" t="s">
        <v>954</v>
      </c>
    </row>
    <row r="10624">
      <c r="Y10624" s="6" t="s">
        <v>954</v>
      </c>
    </row>
    <row r="10625">
      <c r="Y10625" s="6" t="s">
        <v>954</v>
      </c>
    </row>
    <row r="10626">
      <c r="Y10626" s="6" t="s">
        <v>954</v>
      </c>
    </row>
    <row r="10627">
      <c r="Y10627" s="6" t="s">
        <v>954</v>
      </c>
    </row>
    <row r="10628">
      <c r="Y10628" s="6" t="s">
        <v>954</v>
      </c>
    </row>
    <row r="10629">
      <c r="Y10629" s="6" t="s">
        <v>954</v>
      </c>
    </row>
    <row r="10630">
      <c r="Y10630" s="6" t="s">
        <v>954</v>
      </c>
    </row>
    <row r="10631">
      <c r="Y10631" s="6" t="s">
        <v>954</v>
      </c>
    </row>
    <row r="10632">
      <c r="Y10632" s="6" t="s">
        <v>954</v>
      </c>
    </row>
    <row r="10633">
      <c r="Y10633" s="6" t="s">
        <v>954</v>
      </c>
    </row>
    <row r="10634">
      <c r="Y10634" s="6" t="s">
        <v>954</v>
      </c>
    </row>
    <row r="10635">
      <c r="Y10635" s="6" t="s">
        <v>954</v>
      </c>
    </row>
    <row r="10636">
      <c r="Y10636" s="6" t="s">
        <v>954</v>
      </c>
    </row>
    <row r="10637">
      <c r="Y10637" s="6" t="s">
        <v>954</v>
      </c>
    </row>
    <row r="10638">
      <c r="Y10638" s="6" t="s">
        <v>954</v>
      </c>
    </row>
    <row r="10639">
      <c r="Y10639" s="6" t="s">
        <v>954</v>
      </c>
    </row>
    <row r="10640">
      <c r="Y10640" s="6" t="s">
        <v>954</v>
      </c>
    </row>
    <row r="10641">
      <c r="Y10641" s="6" t="s">
        <v>954</v>
      </c>
    </row>
    <row r="10642">
      <c r="Y10642" s="6" t="s">
        <v>954</v>
      </c>
    </row>
    <row r="10643">
      <c r="Y10643" s="6" t="s">
        <v>954</v>
      </c>
    </row>
    <row r="10644">
      <c r="Y10644" s="6" t="s">
        <v>954</v>
      </c>
    </row>
    <row r="10645">
      <c r="Y10645" s="6" t="s">
        <v>954</v>
      </c>
    </row>
    <row r="10646">
      <c r="Y10646" s="6" t="s">
        <v>954</v>
      </c>
    </row>
    <row r="10647">
      <c r="Y10647" s="6" t="s">
        <v>954</v>
      </c>
    </row>
    <row r="10648">
      <c r="Y10648" s="6" t="s">
        <v>954</v>
      </c>
    </row>
    <row r="10649">
      <c r="Y10649" s="6" t="s">
        <v>954</v>
      </c>
    </row>
    <row r="10650">
      <c r="Y10650" s="6" t="s">
        <v>954</v>
      </c>
    </row>
    <row r="10651">
      <c r="Y10651" s="6" t="s">
        <v>954</v>
      </c>
    </row>
    <row r="10652">
      <c r="Y10652" s="6" t="s">
        <v>954</v>
      </c>
    </row>
    <row r="10653">
      <c r="Y10653" s="6" t="s">
        <v>954</v>
      </c>
    </row>
    <row r="10654">
      <c r="Y10654" s="6" t="s">
        <v>954</v>
      </c>
    </row>
    <row r="10655">
      <c r="Y10655" s="6" t="s">
        <v>954</v>
      </c>
    </row>
    <row r="10656">
      <c r="Y10656" s="6" t="s">
        <v>954</v>
      </c>
    </row>
    <row r="10657">
      <c r="Y10657" s="6" t="s">
        <v>954</v>
      </c>
    </row>
    <row r="10658">
      <c r="Y10658" s="6" t="s">
        <v>954</v>
      </c>
    </row>
    <row r="10659">
      <c r="Y10659" s="6" t="s">
        <v>954</v>
      </c>
    </row>
    <row r="10660">
      <c r="Y10660" s="6" t="s">
        <v>954</v>
      </c>
    </row>
    <row r="10661">
      <c r="Y10661" s="6" t="s">
        <v>954</v>
      </c>
    </row>
    <row r="10662">
      <c r="Y10662" s="6" t="s">
        <v>954</v>
      </c>
    </row>
    <row r="10663">
      <c r="Y10663" s="6" t="s">
        <v>954</v>
      </c>
    </row>
    <row r="10664">
      <c r="Y10664" s="6" t="s">
        <v>954</v>
      </c>
    </row>
    <row r="10665">
      <c r="Y10665" s="6" t="s">
        <v>954</v>
      </c>
    </row>
    <row r="10666">
      <c r="Y10666" s="6" t="s">
        <v>954</v>
      </c>
    </row>
    <row r="10667">
      <c r="Y10667" s="6" t="s">
        <v>954</v>
      </c>
    </row>
    <row r="10668">
      <c r="Y10668" s="6" t="s">
        <v>954</v>
      </c>
    </row>
    <row r="10669">
      <c r="Y10669" s="6" t="s">
        <v>954</v>
      </c>
    </row>
    <row r="10670">
      <c r="Y10670" s="6" t="s">
        <v>954</v>
      </c>
    </row>
    <row r="10671">
      <c r="Y10671" s="6" t="s">
        <v>954</v>
      </c>
    </row>
    <row r="10672">
      <c r="Y10672" s="6" t="s">
        <v>954</v>
      </c>
    </row>
    <row r="10673">
      <c r="Y10673" s="6" t="s">
        <v>954</v>
      </c>
    </row>
    <row r="10674">
      <c r="Y10674" s="6" t="s">
        <v>954</v>
      </c>
    </row>
    <row r="10675">
      <c r="Y10675" s="6" t="s">
        <v>954</v>
      </c>
    </row>
    <row r="10676">
      <c r="Y10676" s="6" t="s">
        <v>954</v>
      </c>
    </row>
    <row r="10677">
      <c r="Y10677" s="6" t="s">
        <v>954</v>
      </c>
    </row>
    <row r="10678">
      <c r="Y10678" s="6" t="s">
        <v>954</v>
      </c>
    </row>
    <row r="10679">
      <c r="Y10679" s="6" t="s">
        <v>954</v>
      </c>
    </row>
    <row r="10680">
      <c r="Y10680" s="6" t="s">
        <v>954</v>
      </c>
    </row>
    <row r="10681">
      <c r="Y10681" s="6" t="s">
        <v>954</v>
      </c>
    </row>
    <row r="10682">
      <c r="Y10682" s="6" t="s">
        <v>954</v>
      </c>
    </row>
    <row r="10683">
      <c r="Y10683" s="6" t="s">
        <v>954</v>
      </c>
    </row>
    <row r="10684">
      <c r="Y10684" s="6" t="s">
        <v>954</v>
      </c>
    </row>
    <row r="10685">
      <c r="Y10685" s="6" t="s">
        <v>954</v>
      </c>
    </row>
    <row r="10686">
      <c r="Y10686" s="6" t="s">
        <v>954</v>
      </c>
    </row>
    <row r="10687">
      <c r="Y10687" s="6" t="s">
        <v>954</v>
      </c>
    </row>
    <row r="10688">
      <c r="Y10688" s="6" t="s">
        <v>954</v>
      </c>
    </row>
    <row r="10689">
      <c r="Y10689" s="6" t="s">
        <v>954</v>
      </c>
    </row>
    <row r="10690">
      <c r="Y10690" s="6" t="s">
        <v>954</v>
      </c>
    </row>
    <row r="10691">
      <c r="Y10691" s="6" t="s">
        <v>954</v>
      </c>
    </row>
    <row r="10692">
      <c r="Y10692" s="6" t="s">
        <v>954</v>
      </c>
    </row>
    <row r="10693">
      <c r="Y10693" s="6" t="s">
        <v>954</v>
      </c>
    </row>
    <row r="10694">
      <c r="Y10694" s="6" t="s">
        <v>954</v>
      </c>
    </row>
    <row r="10695">
      <c r="Y10695" s="6" t="s">
        <v>954</v>
      </c>
    </row>
    <row r="10696">
      <c r="Y10696" s="6" t="s">
        <v>954</v>
      </c>
    </row>
    <row r="10697">
      <c r="Y10697" s="6" t="s">
        <v>954</v>
      </c>
    </row>
    <row r="10698">
      <c r="Y10698" s="6" t="s">
        <v>954</v>
      </c>
    </row>
    <row r="10699">
      <c r="Y10699" s="6" t="s">
        <v>954</v>
      </c>
    </row>
    <row r="10700">
      <c r="Y10700" s="6" t="s">
        <v>954</v>
      </c>
    </row>
    <row r="10701">
      <c r="Y10701" s="6" t="s">
        <v>954</v>
      </c>
    </row>
    <row r="10702">
      <c r="Y10702" s="6" t="s">
        <v>954</v>
      </c>
    </row>
    <row r="10703">
      <c r="Y10703" s="6" t="s">
        <v>954</v>
      </c>
    </row>
    <row r="10704">
      <c r="Y10704" s="6" t="s">
        <v>954</v>
      </c>
    </row>
    <row r="10705">
      <c r="Y10705" s="6" t="s">
        <v>954</v>
      </c>
    </row>
    <row r="10706">
      <c r="Y10706" s="6" t="s">
        <v>954</v>
      </c>
    </row>
    <row r="10707">
      <c r="Y10707" s="6" t="s">
        <v>954</v>
      </c>
    </row>
    <row r="10708">
      <c r="Y10708" s="6" t="s">
        <v>954</v>
      </c>
    </row>
    <row r="10709">
      <c r="Y10709" s="6" t="s">
        <v>954</v>
      </c>
    </row>
    <row r="10710">
      <c r="Y10710" s="6" t="s">
        <v>954</v>
      </c>
    </row>
    <row r="10711">
      <c r="Y10711" s="6" t="s">
        <v>954</v>
      </c>
    </row>
    <row r="10712">
      <c r="Y10712" s="6" t="s">
        <v>954</v>
      </c>
    </row>
    <row r="10713">
      <c r="Y10713" s="6" t="s">
        <v>954</v>
      </c>
    </row>
    <row r="10714">
      <c r="Y10714" s="6" t="s">
        <v>954</v>
      </c>
    </row>
    <row r="10715">
      <c r="Y10715" s="6" t="s">
        <v>954</v>
      </c>
    </row>
    <row r="10716">
      <c r="Y10716" s="6" t="s">
        <v>954</v>
      </c>
    </row>
    <row r="10717">
      <c r="Y10717" s="6" t="s">
        <v>954</v>
      </c>
    </row>
    <row r="10718">
      <c r="Y10718" s="6" t="s">
        <v>954</v>
      </c>
    </row>
    <row r="10719">
      <c r="Y10719" s="6" t="s">
        <v>954</v>
      </c>
    </row>
    <row r="10720">
      <c r="Y10720" s="6" t="s">
        <v>954</v>
      </c>
    </row>
    <row r="10721">
      <c r="Y10721" s="6" t="s">
        <v>954</v>
      </c>
    </row>
    <row r="10722">
      <c r="Y10722" s="6" t="s">
        <v>954</v>
      </c>
    </row>
    <row r="10723">
      <c r="Y10723" s="6" t="s">
        <v>954</v>
      </c>
    </row>
    <row r="10724">
      <c r="Y10724" s="6" t="s">
        <v>954</v>
      </c>
    </row>
    <row r="10725">
      <c r="Y10725" s="6" t="s">
        <v>954</v>
      </c>
    </row>
    <row r="10726">
      <c r="Y10726" s="6" t="s">
        <v>954</v>
      </c>
    </row>
    <row r="10727">
      <c r="Y10727" s="6" t="s">
        <v>954</v>
      </c>
    </row>
    <row r="10728">
      <c r="Y10728" s="6" t="s">
        <v>954</v>
      </c>
    </row>
    <row r="10729">
      <c r="Y10729" s="6" t="s">
        <v>954</v>
      </c>
    </row>
    <row r="10730">
      <c r="Y10730" s="6" t="s">
        <v>954</v>
      </c>
    </row>
    <row r="10731">
      <c r="Y10731" s="6" t="s">
        <v>954</v>
      </c>
    </row>
    <row r="10732">
      <c r="Y10732" s="6" t="s">
        <v>954</v>
      </c>
    </row>
    <row r="10733">
      <c r="Y10733" s="6" t="s">
        <v>954</v>
      </c>
    </row>
    <row r="10734">
      <c r="Y10734" s="6" t="s">
        <v>954</v>
      </c>
    </row>
    <row r="10735">
      <c r="Y10735" s="6" t="s">
        <v>954</v>
      </c>
    </row>
    <row r="10736">
      <c r="Y10736" s="6" t="s">
        <v>954</v>
      </c>
    </row>
    <row r="10737">
      <c r="Y10737" s="6" t="s">
        <v>954</v>
      </c>
    </row>
    <row r="10738">
      <c r="Y10738" s="6" t="s">
        <v>954</v>
      </c>
    </row>
    <row r="10739">
      <c r="Y10739" s="6" t="s">
        <v>954</v>
      </c>
    </row>
    <row r="10740">
      <c r="Y10740" s="6" t="s">
        <v>954</v>
      </c>
    </row>
    <row r="10741">
      <c r="Y10741" s="6" t="s">
        <v>954</v>
      </c>
    </row>
    <row r="10742">
      <c r="Y10742" s="6" t="s">
        <v>954</v>
      </c>
    </row>
    <row r="10743">
      <c r="Y10743" s="6" t="s">
        <v>954</v>
      </c>
    </row>
    <row r="10744">
      <c r="Y10744" s="6" t="s">
        <v>954</v>
      </c>
    </row>
    <row r="10745">
      <c r="Y10745" s="6" t="s">
        <v>954</v>
      </c>
    </row>
    <row r="10746">
      <c r="Y10746" s="6" t="s">
        <v>954</v>
      </c>
    </row>
    <row r="10747">
      <c r="Y10747" s="6" t="s">
        <v>954</v>
      </c>
    </row>
    <row r="10748">
      <c r="Y10748" s="6" t="s">
        <v>954</v>
      </c>
    </row>
    <row r="10749">
      <c r="Y10749" s="6" t="s">
        <v>954</v>
      </c>
    </row>
    <row r="10750">
      <c r="Y10750" s="6" t="s">
        <v>954</v>
      </c>
    </row>
    <row r="10751">
      <c r="Y10751" s="6" t="s">
        <v>954</v>
      </c>
    </row>
    <row r="10752">
      <c r="Y10752" s="6" t="s">
        <v>954</v>
      </c>
    </row>
    <row r="10753">
      <c r="Y10753" s="6" t="s">
        <v>954</v>
      </c>
    </row>
    <row r="10754">
      <c r="Y10754" s="6" t="s">
        <v>954</v>
      </c>
    </row>
    <row r="10755">
      <c r="Y10755" s="6" t="s">
        <v>954</v>
      </c>
    </row>
    <row r="10756">
      <c r="Y10756" s="6" t="s">
        <v>954</v>
      </c>
    </row>
    <row r="10757">
      <c r="Y10757" s="6" t="s">
        <v>954</v>
      </c>
    </row>
    <row r="10758">
      <c r="Y10758" s="6" t="s">
        <v>954</v>
      </c>
    </row>
    <row r="10759">
      <c r="Y10759" s="6" t="s">
        <v>954</v>
      </c>
    </row>
    <row r="10760">
      <c r="Y10760" s="6" t="s">
        <v>954</v>
      </c>
    </row>
    <row r="10761">
      <c r="Y10761" s="6" t="s">
        <v>954</v>
      </c>
    </row>
    <row r="10762">
      <c r="Y10762" s="6" t="s">
        <v>954</v>
      </c>
    </row>
    <row r="10763">
      <c r="Y10763" s="6" t="s">
        <v>954</v>
      </c>
    </row>
    <row r="10764">
      <c r="Y10764" s="6" t="s">
        <v>954</v>
      </c>
    </row>
    <row r="10765">
      <c r="Y10765" s="6" t="s">
        <v>954</v>
      </c>
    </row>
    <row r="10766">
      <c r="Y10766" s="6" t="s">
        <v>954</v>
      </c>
    </row>
    <row r="10767">
      <c r="Y10767" s="6" t="s">
        <v>954</v>
      </c>
    </row>
    <row r="10768">
      <c r="Y10768" s="6" t="s">
        <v>954</v>
      </c>
    </row>
    <row r="10769">
      <c r="Y10769" s="6" t="s">
        <v>954</v>
      </c>
    </row>
    <row r="10770">
      <c r="Y10770" s="6" t="s">
        <v>954</v>
      </c>
    </row>
    <row r="10771">
      <c r="Y10771" s="6" t="s">
        <v>954</v>
      </c>
    </row>
    <row r="10772">
      <c r="Y10772" s="6" t="s">
        <v>954</v>
      </c>
    </row>
    <row r="10773">
      <c r="Y10773" s="6" t="s">
        <v>954</v>
      </c>
    </row>
    <row r="10774">
      <c r="Y10774" s="6" t="s">
        <v>954</v>
      </c>
    </row>
    <row r="10775">
      <c r="Y10775" s="6" t="s">
        <v>954</v>
      </c>
    </row>
    <row r="10776">
      <c r="Y10776" s="6" t="s">
        <v>954</v>
      </c>
    </row>
    <row r="10777">
      <c r="Y10777" s="6" t="s">
        <v>954</v>
      </c>
    </row>
    <row r="10778">
      <c r="Y10778" s="6" t="s">
        <v>954</v>
      </c>
    </row>
    <row r="10779">
      <c r="Y10779" s="6" t="s">
        <v>954</v>
      </c>
    </row>
    <row r="10780">
      <c r="Y10780" s="6" t="s">
        <v>954</v>
      </c>
    </row>
    <row r="10781">
      <c r="Y10781" s="6" t="s">
        <v>954</v>
      </c>
    </row>
    <row r="10782">
      <c r="Y10782" s="6" t="s">
        <v>954</v>
      </c>
    </row>
    <row r="10783">
      <c r="Y10783" s="6" t="s">
        <v>954</v>
      </c>
    </row>
    <row r="10784">
      <c r="Y10784" s="6" t="s">
        <v>954</v>
      </c>
    </row>
    <row r="10785">
      <c r="Y10785" s="6" t="s">
        <v>954</v>
      </c>
    </row>
    <row r="10786">
      <c r="Y10786" s="6" t="s">
        <v>954</v>
      </c>
    </row>
    <row r="10787">
      <c r="Y10787" s="6" t="s">
        <v>954</v>
      </c>
    </row>
    <row r="10788">
      <c r="Y10788" s="6" t="s">
        <v>954</v>
      </c>
    </row>
    <row r="10789">
      <c r="Y10789" s="6" t="s">
        <v>954</v>
      </c>
    </row>
    <row r="10790">
      <c r="Y10790" s="6" t="s">
        <v>954</v>
      </c>
    </row>
    <row r="10791">
      <c r="Y10791" s="6" t="s">
        <v>954</v>
      </c>
    </row>
    <row r="10792">
      <c r="Y10792" s="6" t="s">
        <v>954</v>
      </c>
    </row>
    <row r="10793">
      <c r="Y10793" s="6" t="s">
        <v>954</v>
      </c>
    </row>
    <row r="10794">
      <c r="Y10794" s="6" t="s">
        <v>954</v>
      </c>
    </row>
    <row r="10795">
      <c r="Y10795" s="6" t="s">
        <v>954</v>
      </c>
    </row>
    <row r="10796">
      <c r="Y10796" s="6" t="s">
        <v>954</v>
      </c>
    </row>
    <row r="10797">
      <c r="Y10797" s="6" t="s">
        <v>954</v>
      </c>
    </row>
    <row r="10798">
      <c r="Y10798" s="6" t="s">
        <v>954</v>
      </c>
    </row>
    <row r="10799">
      <c r="Y10799" s="6" t="s">
        <v>954</v>
      </c>
    </row>
    <row r="10800">
      <c r="Y10800" s="6" t="s">
        <v>954</v>
      </c>
    </row>
    <row r="10801">
      <c r="Y10801" s="6" t="s">
        <v>954</v>
      </c>
    </row>
    <row r="10802">
      <c r="Y10802" s="6" t="s">
        <v>954</v>
      </c>
    </row>
    <row r="10803">
      <c r="Y10803" s="6" t="s">
        <v>954</v>
      </c>
    </row>
    <row r="10804">
      <c r="Y10804" s="6" t="s">
        <v>954</v>
      </c>
    </row>
    <row r="10805">
      <c r="Y10805" s="6" t="s">
        <v>954</v>
      </c>
    </row>
    <row r="10806">
      <c r="Y10806" s="6" t="s">
        <v>954</v>
      </c>
    </row>
    <row r="10807">
      <c r="Y10807" s="6" t="s">
        <v>954</v>
      </c>
    </row>
    <row r="10808">
      <c r="Y10808" s="6" t="s">
        <v>954</v>
      </c>
    </row>
    <row r="10809">
      <c r="Y10809" s="6" t="s">
        <v>954</v>
      </c>
    </row>
    <row r="10810">
      <c r="Y10810" s="6" t="s">
        <v>954</v>
      </c>
    </row>
    <row r="10811">
      <c r="Y10811" s="6" t="s">
        <v>954</v>
      </c>
    </row>
    <row r="10812">
      <c r="Y10812" s="6" t="s">
        <v>954</v>
      </c>
    </row>
    <row r="10813">
      <c r="Y10813" s="6" t="s">
        <v>954</v>
      </c>
    </row>
    <row r="10814">
      <c r="Y10814" s="6" t="s">
        <v>954</v>
      </c>
    </row>
    <row r="10815">
      <c r="Y10815" s="6" t="s">
        <v>954</v>
      </c>
    </row>
    <row r="10816">
      <c r="Y10816" s="6" t="s">
        <v>954</v>
      </c>
    </row>
    <row r="10817">
      <c r="Y10817" s="6" t="s">
        <v>954</v>
      </c>
    </row>
    <row r="10818">
      <c r="Y10818" s="6" t="s">
        <v>954</v>
      </c>
    </row>
    <row r="10819">
      <c r="Y10819" s="6" t="s">
        <v>954</v>
      </c>
    </row>
    <row r="10820">
      <c r="Y10820" s="6" t="s">
        <v>954</v>
      </c>
    </row>
    <row r="10821">
      <c r="Y10821" s="6" t="s">
        <v>954</v>
      </c>
    </row>
    <row r="10822">
      <c r="Y10822" s="6" t="s">
        <v>954</v>
      </c>
    </row>
    <row r="10823">
      <c r="Y10823" s="6" t="s">
        <v>954</v>
      </c>
    </row>
    <row r="10824">
      <c r="Y10824" s="6" t="s">
        <v>954</v>
      </c>
    </row>
    <row r="10825">
      <c r="Y10825" s="6" t="s">
        <v>954</v>
      </c>
    </row>
    <row r="10826">
      <c r="Y10826" s="6" t="s">
        <v>954</v>
      </c>
    </row>
    <row r="10827">
      <c r="Y10827" s="6" t="s">
        <v>954</v>
      </c>
    </row>
    <row r="10828">
      <c r="Y10828" s="6" t="s">
        <v>954</v>
      </c>
    </row>
    <row r="10829">
      <c r="Y10829" s="6" t="s">
        <v>954</v>
      </c>
    </row>
    <row r="10830">
      <c r="Y10830" s="6" t="s">
        <v>954</v>
      </c>
    </row>
    <row r="10831">
      <c r="Y10831" s="6" t="s">
        <v>954</v>
      </c>
    </row>
    <row r="10832">
      <c r="Y10832" s="6" t="s">
        <v>954</v>
      </c>
    </row>
    <row r="10833">
      <c r="Y10833" s="6" t="s">
        <v>954</v>
      </c>
    </row>
    <row r="10834">
      <c r="Y10834" s="6" t="s">
        <v>954</v>
      </c>
    </row>
    <row r="10835">
      <c r="Y10835" s="6" t="s">
        <v>954</v>
      </c>
    </row>
    <row r="10836">
      <c r="Y10836" s="6" t="s">
        <v>954</v>
      </c>
    </row>
    <row r="10837">
      <c r="Y10837" s="6" t="s">
        <v>954</v>
      </c>
    </row>
    <row r="10838">
      <c r="Y10838" s="6" t="s">
        <v>954</v>
      </c>
    </row>
    <row r="10839">
      <c r="Y10839" s="6" t="s">
        <v>954</v>
      </c>
    </row>
    <row r="10840">
      <c r="Y10840" s="6" t="s">
        <v>954</v>
      </c>
    </row>
    <row r="10841">
      <c r="Y10841" s="6" t="s">
        <v>954</v>
      </c>
    </row>
    <row r="10842">
      <c r="Y10842" s="6" t="s">
        <v>954</v>
      </c>
    </row>
    <row r="10843">
      <c r="Y10843" s="6" t="s">
        <v>954</v>
      </c>
    </row>
    <row r="10844">
      <c r="Y10844" s="6" t="s">
        <v>954</v>
      </c>
    </row>
    <row r="10845">
      <c r="Y10845" s="6" t="s">
        <v>954</v>
      </c>
    </row>
    <row r="10846">
      <c r="Y10846" s="6" t="s">
        <v>954</v>
      </c>
    </row>
    <row r="10847">
      <c r="Y10847" s="6" t="s">
        <v>954</v>
      </c>
    </row>
    <row r="10848">
      <c r="Y10848" s="6" t="s">
        <v>954</v>
      </c>
    </row>
    <row r="10849">
      <c r="Y10849" s="6" t="s">
        <v>954</v>
      </c>
    </row>
    <row r="10850">
      <c r="Y10850" s="6" t="s">
        <v>954</v>
      </c>
    </row>
    <row r="10851">
      <c r="Y10851" s="6" t="s">
        <v>954</v>
      </c>
    </row>
    <row r="10852">
      <c r="Y10852" s="6" t="s">
        <v>954</v>
      </c>
    </row>
    <row r="10853">
      <c r="Y10853" s="6" t="s">
        <v>954</v>
      </c>
    </row>
    <row r="10854">
      <c r="Y10854" s="6" t="s">
        <v>954</v>
      </c>
    </row>
    <row r="10855">
      <c r="Y10855" s="6" t="s">
        <v>954</v>
      </c>
    </row>
    <row r="10856">
      <c r="Y10856" s="6" t="s">
        <v>954</v>
      </c>
    </row>
    <row r="10857">
      <c r="Y10857" s="6" t="s">
        <v>954</v>
      </c>
    </row>
    <row r="10858">
      <c r="Y10858" s="6" t="s">
        <v>954</v>
      </c>
    </row>
    <row r="10859">
      <c r="Y10859" s="6" t="s">
        <v>954</v>
      </c>
    </row>
    <row r="10860">
      <c r="Y10860" s="6" t="s">
        <v>954</v>
      </c>
    </row>
    <row r="10861">
      <c r="Y10861" s="6" t="s">
        <v>954</v>
      </c>
    </row>
    <row r="10862">
      <c r="Y10862" s="6" t="s">
        <v>954</v>
      </c>
    </row>
    <row r="10863">
      <c r="Y10863" s="6" t="s">
        <v>954</v>
      </c>
    </row>
    <row r="10864">
      <c r="Y10864" s="6" t="s">
        <v>954</v>
      </c>
    </row>
    <row r="10865">
      <c r="Y10865" s="6" t="s">
        <v>954</v>
      </c>
    </row>
    <row r="10866">
      <c r="Y10866" s="6" t="s">
        <v>954</v>
      </c>
    </row>
    <row r="10867">
      <c r="Y10867" s="6" t="s">
        <v>954</v>
      </c>
    </row>
    <row r="10868">
      <c r="Y10868" s="6" t="s">
        <v>954</v>
      </c>
    </row>
    <row r="10869">
      <c r="Y10869" s="6" t="s">
        <v>954</v>
      </c>
    </row>
    <row r="10870">
      <c r="Y10870" s="6" t="s">
        <v>954</v>
      </c>
    </row>
    <row r="10871">
      <c r="Y10871" s="6" t="s">
        <v>954</v>
      </c>
    </row>
    <row r="10872">
      <c r="Y10872" s="6" t="s">
        <v>954</v>
      </c>
    </row>
    <row r="10873">
      <c r="Y10873" s="6" t="s">
        <v>954</v>
      </c>
    </row>
    <row r="10874">
      <c r="Y10874" s="6" t="s">
        <v>954</v>
      </c>
    </row>
    <row r="10875">
      <c r="Y10875" s="6" t="s">
        <v>954</v>
      </c>
    </row>
    <row r="10876">
      <c r="Y10876" s="6" t="s">
        <v>954</v>
      </c>
    </row>
    <row r="10877">
      <c r="Y10877" s="6" t="s">
        <v>954</v>
      </c>
    </row>
    <row r="10878">
      <c r="Y10878" s="6" t="s">
        <v>954</v>
      </c>
    </row>
    <row r="10879">
      <c r="Y10879" s="6" t="s">
        <v>954</v>
      </c>
    </row>
    <row r="10880">
      <c r="Y10880" s="6" t="s">
        <v>954</v>
      </c>
    </row>
    <row r="10881">
      <c r="Y10881" s="6" t="s">
        <v>954</v>
      </c>
    </row>
    <row r="10882">
      <c r="Y10882" s="6" t="s">
        <v>954</v>
      </c>
    </row>
    <row r="10883">
      <c r="Y10883" s="6" t="s">
        <v>954</v>
      </c>
    </row>
    <row r="10884">
      <c r="Y10884" s="6" t="s">
        <v>954</v>
      </c>
    </row>
    <row r="10885">
      <c r="Y10885" s="6" t="s">
        <v>954</v>
      </c>
    </row>
    <row r="10886">
      <c r="Y10886" s="6" t="s">
        <v>954</v>
      </c>
    </row>
    <row r="10887">
      <c r="Y10887" s="6" t="s">
        <v>954</v>
      </c>
    </row>
    <row r="10888">
      <c r="Y10888" s="6" t="s">
        <v>954</v>
      </c>
    </row>
    <row r="10889">
      <c r="Y10889" s="6" t="s">
        <v>954</v>
      </c>
    </row>
    <row r="10890">
      <c r="Y10890" s="6" t="s">
        <v>954</v>
      </c>
    </row>
    <row r="10891">
      <c r="Y10891" s="6" t="s">
        <v>954</v>
      </c>
    </row>
    <row r="10892">
      <c r="Y10892" s="6" t="s">
        <v>954</v>
      </c>
    </row>
    <row r="10893">
      <c r="Y10893" s="6" t="s">
        <v>954</v>
      </c>
    </row>
    <row r="10894">
      <c r="Y10894" s="6" t="s">
        <v>954</v>
      </c>
    </row>
    <row r="10895">
      <c r="Y10895" s="6" t="s">
        <v>954</v>
      </c>
    </row>
    <row r="10896">
      <c r="Y10896" s="6" t="s">
        <v>954</v>
      </c>
    </row>
    <row r="10897">
      <c r="Y10897" s="6" t="s">
        <v>954</v>
      </c>
    </row>
    <row r="10898">
      <c r="Y10898" s="6" t="s">
        <v>954</v>
      </c>
    </row>
    <row r="10899">
      <c r="Y10899" s="6" t="s">
        <v>954</v>
      </c>
    </row>
    <row r="10900">
      <c r="Y10900" s="6" t="s">
        <v>954</v>
      </c>
    </row>
    <row r="10901">
      <c r="Y10901" s="6" t="s">
        <v>954</v>
      </c>
    </row>
    <row r="10902">
      <c r="Y10902" s="6" t="s">
        <v>954</v>
      </c>
    </row>
    <row r="10903">
      <c r="Y10903" s="6" t="s">
        <v>954</v>
      </c>
    </row>
    <row r="10904">
      <c r="Y10904" s="6" t="s">
        <v>954</v>
      </c>
    </row>
    <row r="10905">
      <c r="Y10905" s="6" t="s">
        <v>954</v>
      </c>
    </row>
    <row r="10906">
      <c r="Y10906" s="6" t="s">
        <v>954</v>
      </c>
    </row>
    <row r="10907">
      <c r="Y10907" s="6" t="s">
        <v>954</v>
      </c>
    </row>
    <row r="10908">
      <c r="Y10908" s="6" t="s">
        <v>954</v>
      </c>
    </row>
    <row r="10909">
      <c r="Y10909" s="6" t="s">
        <v>954</v>
      </c>
    </row>
    <row r="10910">
      <c r="Y10910" s="6" t="s">
        <v>954</v>
      </c>
    </row>
    <row r="10911">
      <c r="Y10911" s="6" t="s">
        <v>954</v>
      </c>
    </row>
    <row r="10912">
      <c r="Y10912" s="6" t="s">
        <v>954</v>
      </c>
    </row>
    <row r="10913">
      <c r="Y10913" s="6" t="s">
        <v>954</v>
      </c>
    </row>
    <row r="10914">
      <c r="Y10914" s="6" t="s">
        <v>954</v>
      </c>
    </row>
    <row r="10915">
      <c r="Y10915" s="6" t="s">
        <v>954</v>
      </c>
    </row>
    <row r="10916">
      <c r="Y10916" s="6" t="s">
        <v>954</v>
      </c>
    </row>
    <row r="10917">
      <c r="Y10917" s="6" t="s">
        <v>954</v>
      </c>
    </row>
    <row r="10918">
      <c r="Y10918" s="6" t="s">
        <v>954</v>
      </c>
    </row>
    <row r="10919">
      <c r="Y10919" s="6" t="s">
        <v>954</v>
      </c>
    </row>
    <row r="10920">
      <c r="Y10920" s="6" t="s">
        <v>954</v>
      </c>
    </row>
    <row r="10921">
      <c r="Y10921" s="6" t="s">
        <v>954</v>
      </c>
    </row>
    <row r="10922">
      <c r="Y10922" s="6" t="s">
        <v>954</v>
      </c>
    </row>
    <row r="10923">
      <c r="Y10923" s="6" t="s">
        <v>954</v>
      </c>
    </row>
    <row r="10924">
      <c r="Y10924" s="6" t="s">
        <v>954</v>
      </c>
    </row>
    <row r="10925">
      <c r="Y10925" s="6" t="s">
        <v>954</v>
      </c>
    </row>
    <row r="10926">
      <c r="Y10926" s="6" t="s">
        <v>954</v>
      </c>
    </row>
    <row r="10927">
      <c r="Y10927" s="6" t="s">
        <v>954</v>
      </c>
    </row>
    <row r="10928">
      <c r="Y10928" s="6" t="s">
        <v>954</v>
      </c>
    </row>
    <row r="10929">
      <c r="Y10929" s="6" t="s">
        <v>954</v>
      </c>
    </row>
    <row r="10930">
      <c r="Y10930" s="6" t="s">
        <v>954</v>
      </c>
    </row>
    <row r="10931">
      <c r="Y10931" s="6" t="s">
        <v>954</v>
      </c>
    </row>
    <row r="10932">
      <c r="Y10932" s="6" t="s">
        <v>954</v>
      </c>
    </row>
    <row r="10933">
      <c r="Y10933" s="6" t="s">
        <v>954</v>
      </c>
    </row>
    <row r="10934">
      <c r="Y10934" s="6" t="s">
        <v>954</v>
      </c>
    </row>
    <row r="10935">
      <c r="Y10935" s="6" t="s">
        <v>954</v>
      </c>
    </row>
    <row r="10936">
      <c r="Y10936" s="6" t="s">
        <v>954</v>
      </c>
    </row>
    <row r="10937">
      <c r="Y10937" s="6" t="s">
        <v>954</v>
      </c>
    </row>
    <row r="10938">
      <c r="Y10938" s="6" t="s">
        <v>954</v>
      </c>
    </row>
    <row r="10939">
      <c r="Y10939" s="6" t="s">
        <v>954</v>
      </c>
    </row>
    <row r="10940">
      <c r="Y10940" s="6" t="s">
        <v>954</v>
      </c>
    </row>
    <row r="10941">
      <c r="Y10941" s="6" t="s">
        <v>954</v>
      </c>
    </row>
    <row r="10942">
      <c r="Y10942" s="6" t="s">
        <v>954</v>
      </c>
    </row>
    <row r="10943">
      <c r="Y10943" s="6" t="s">
        <v>954</v>
      </c>
    </row>
    <row r="10944">
      <c r="Y10944" s="6" t="s">
        <v>954</v>
      </c>
    </row>
    <row r="10945">
      <c r="Y10945" s="6" t="s">
        <v>954</v>
      </c>
    </row>
    <row r="10946">
      <c r="Y10946" s="6" t="s">
        <v>954</v>
      </c>
    </row>
    <row r="10947">
      <c r="Y10947" s="6" t="s">
        <v>954</v>
      </c>
    </row>
    <row r="10948">
      <c r="Y10948" s="6" t="s">
        <v>954</v>
      </c>
    </row>
    <row r="10949">
      <c r="Y10949" s="6" t="s">
        <v>954</v>
      </c>
    </row>
    <row r="10950">
      <c r="Y10950" s="6" t="s">
        <v>954</v>
      </c>
    </row>
    <row r="10951">
      <c r="Y10951" s="6" t="s">
        <v>954</v>
      </c>
    </row>
    <row r="10952">
      <c r="Y10952" s="6" t="s">
        <v>954</v>
      </c>
    </row>
    <row r="10953">
      <c r="Y10953" s="6" t="s">
        <v>954</v>
      </c>
    </row>
    <row r="10954">
      <c r="Y10954" s="6" t="s">
        <v>954</v>
      </c>
    </row>
    <row r="10955">
      <c r="Y10955" s="6" t="s">
        <v>954</v>
      </c>
    </row>
    <row r="10956">
      <c r="Y10956" s="6" t="s">
        <v>954</v>
      </c>
    </row>
    <row r="10957">
      <c r="Y10957" s="6" t="s">
        <v>954</v>
      </c>
    </row>
    <row r="10958">
      <c r="Y10958" s="6" t="s">
        <v>954</v>
      </c>
    </row>
    <row r="10959">
      <c r="Y10959" s="6" t="s">
        <v>954</v>
      </c>
    </row>
    <row r="10960">
      <c r="Y10960" s="6" t="s">
        <v>954</v>
      </c>
    </row>
    <row r="10961">
      <c r="Y10961" s="6" t="s">
        <v>954</v>
      </c>
    </row>
    <row r="10962">
      <c r="Y10962" s="6" t="s">
        <v>954</v>
      </c>
    </row>
    <row r="10963">
      <c r="Y10963" s="6" t="s">
        <v>954</v>
      </c>
    </row>
    <row r="10964">
      <c r="Y10964" s="6" t="s">
        <v>954</v>
      </c>
    </row>
    <row r="10965">
      <c r="Y10965" s="6" t="s">
        <v>954</v>
      </c>
    </row>
    <row r="10966">
      <c r="Y10966" s="6" t="s">
        <v>954</v>
      </c>
    </row>
    <row r="10967">
      <c r="Y10967" s="6" t="s">
        <v>954</v>
      </c>
    </row>
    <row r="10968">
      <c r="Y10968" s="6" t="s">
        <v>954</v>
      </c>
    </row>
    <row r="10969">
      <c r="Y10969" s="6" t="s">
        <v>954</v>
      </c>
    </row>
    <row r="10970">
      <c r="Y10970" s="6" t="s">
        <v>954</v>
      </c>
    </row>
    <row r="10971">
      <c r="Y10971" s="6" t="s">
        <v>954</v>
      </c>
    </row>
    <row r="10972">
      <c r="Y10972" s="6" t="s">
        <v>954</v>
      </c>
    </row>
    <row r="10973">
      <c r="Y10973" s="6" t="s">
        <v>954</v>
      </c>
    </row>
    <row r="10974">
      <c r="Y10974" s="6" t="s">
        <v>954</v>
      </c>
    </row>
    <row r="10975">
      <c r="Y10975" s="6" t="s">
        <v>954</v>
      </c>
    </row>
    <row r="10976">
      <c r="Y10976" s="6" t="s">
        <v>954</v>
      </c>
    </row>
    <row r="10977">
      <c r="Y10977" s="6" t="s">
        <v>954</v>
      </c>
    </row>
    <row r="10978">
      <c r="Y10978" s="6" t="s">
        <v>954</v>
      </c>
    </row>
    <row r="10979">
      <c r="Y10979" s="6" t="s">
        <v>954</v>
      </c>
    </row>
    <row r="10980">
      <c r="Y10980" s="6" t="s">
        <v>954</v>
      </c>
    </row>
    <row r="10981">
      <c r="Y10981" s="6" t="s">
        <v>954</v>
      </c>
    </row>
    <row r="10982">
      <c r="Y10982" s="6" t="s">
        <v>954</v>
      </c>
    </row>
    <row r="10983">
      <c r="Y10983" s="6" t="s">
        <v>954</v>
      </c>
    </row>
    <row r="10984">
      <c r="Y10984" s="6" t="s">
        <v>954</v>
      </c>
    </row>
    <row r="10985">
      <c r="Y10985" s="6" t="s">
        <v>954</v>
      </c>
    </row>
    <row r="10986">
      <c r="Y10986" s="6" t="s">
        <v>954</v>
      </c>
    </row>
    <row r="10987">
      <c r="Y10987" s="6" t="s">
        <v>954</v>
      </c>
    </row>
    <row r="10988">
      <c r="Y10988" s="6" t="s">
        <v>954</v>
      </c>
    </row>
    <row r="10989">
      <c r="Y10989" s="6" t="s">
        <v>954</v>
      </c>
    </row>
    <row r="10990">
      <c r="Y10990" s="6" t="s">
        <v>954</v>
      </c>
    </row>
    <row r="10991">
      <c r="Y10991" s="6" t="s">
        <v>954</v>
      </c>
    </row>
    <row r="10992">
      <c r="Y10992" s="6" t="s">
        <v>954</v>
      </c>
    </row>
    <row r="10993">
      <c r="Y10993" s="6" t="s">
        <v>954</v>
      </c>
    </row>
    <row r="10994">
      <c r="Y10994" s="6" t="s">
        <v>954</v>
      </c>
    </row>
    <row r="10995">
      <c r="Y10995" s="6" t="s">
        <v>954</v>
      </c>
    </row>
    <row r="10996">
      <c r="Y10996" s="6" t="s">
        <v>954</v>
      </c>
    </row>
    <row r="10997">
      <c r="Y10997" s="6" t="s">
        <v>954</v>
      </c>
    </row>
    <row r="10998">
      <c r="Y10998" s="6" t="s">
        <v>954</v>
      </c>
    </row>
    <row r="10999">
      <c r="Y10999" s="6" t="s">
        <v>954</v>
      </c>
    </row>
    <row r="11000">
      <c r="Y11000" s="6" t="s">
        <v>954</v>
      </c>
    </row>
    <row r="11001">
      <c r="Y11001" s="6" t="s">
        <v>954</v>
      </c>
    </row>
    <row r="11002">
      <c r="Y11002" s="6" t="s">
        <v>954</v>
      </c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88"/>
    <col customWidth="1" min="3" max="3" width="19.13"/>
    <col customWidth="1" min="4" max="4" width="13.38"/>
    <col customWidth="1" min="5" max="6" width="19.0"/>
    <col customWidth="1" min="7" max="7" width="23.0"/>
    <col customWidth="1" min="8" max="8" width="11.5"/>
    <col customWidth="1" min="9" max="9" width="9.75"/>
    <col customWidth="1" min="10" max="10" width="13.25"/>
    <col customWidth="1" min="11" max="11" width="30.38"/>
    <col customWidth="1" min="12" max="12" width="15.5"/>
    <col customWidth="1" min="13" max="13" width="13.0"/>
    <col customWidth="1" min="14" max="14" width="18.63"/>
    <col customWidth="1" min="15" max="15" width="15.88"/>
    <col customWidth="1" min="16" max="16" width="16.38"/>
    <col customWidth="1" min="17" max="17" width="15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20</v>
      </c>
      <c r="P1" s="1" t="s">
        <v>22</v>
      </c>
      <c r="Q1" s="1" t="s">
        <v>26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5">
        <v>1.0</v>
      </c>
      <c r="I2" s="5">
        <v>1.0</v>
      </c>
      <c r="J2" s="5">
        <v>1.0</v>
      </c>
      <c r="K2" s="1" t="s">
        <v>36</v>
      </c>
      <c r="L2" s="1" t="s">
        <v>38</v>
      </c>
      <c r="M2" s="1" t="s">
        <v>30</v>
      </c>
      <c r="N2" s="1" t="s">
        <v>40</v>
      </c>
      <c r="P2" s="1" t="s">
        <v>43</v>
      </c>
      <c r="Q2" s="1" t="s">
        <v>43</v>
      </c>
    </row>
    <row r="3">
      <c r="A3" s="1" t="s">
        <v>47</v>
      </c>
      <c r="B3" s="1" t="s">
        <v>49</v>
      </c>
      <c r="C3" s="1" t="s">
        <v>30</v>
      </c>
      <c r="D3" s="1" t="s">
        <v>51</v>
      </c>
      <c r="E3" s="1" t="s">
        <v>53</v>
      </c>
      <c r="F3" s="1" t="s">
        <v>33</v>
      </c>
      <c r="G3" s="1" t="s">
        <v>34</v>
      </c>
      <c r="H3" s="5">
        <v>1.0</v>
      </c>
      <c r="I3" s="5">
        <v>1.0</v>
      </c>
      <c r="J3" s="5">
        <v>1.0</v>
      </c>
      <c r="K3" s="1" t="s">
        <v>57</v>
      </c>
      <c r="L3" s="1" t="s">
        <v>38</v>
      </c>
      <c r="M3" s="1" t="s">
        <v>30</v>
      </c>
      <c r="N3" s="1" t="s">
        <v>40</v>
      </c>
      <c r="P3" s="1" t="s">
        <v>43</v>
      </c>
      <c r="Q3" s="1" t="s">
        <v>43</v>
      </c>
    </row>
    <row r="4">
      <c r="A4" s="1" t="s">
        <v>61</v>
      </c>
      <c r="B4" s="1" t="s">
        <v>63</v>
      </c>
      <c r="C4" s="1" t="s">
        <v>65</v>
      </c>
      <c r="D4" s="1" t="s">
        <v>67</v>
      </c>
      <c r="E4" s="1" t="s">
        <v>68</v>
      </c>
      <c r="F4" s="1" t="s">
        <v>33</v>
      </c>
      <c r="G4" s="1" t="s">
        <v>34</v>
      </c>
      <c r="H4" s="5">
        <v>1.0</v>
      </c>
      <c r="I4" s="5">
        <v>1.0</v>
      </c>
      <c r="J4" s="5">
        <v>1.0</v>
      </c>
      <c r="K4" s="1" t="s">
        <v>72</v>
      </c>
      <c r="L4" s="1" t="s">
        <v>38</v>
      </c>
      <c r="M4" s="1" t="s">
        <v>30</v>
      </c>
      <c r="N4" s="1" t="s">
        <v>40</v>
      </c>
      <c r="P4" s="1" t="s">
        <v>74</v>
      </c>
      <c r="Q4" s="1" t="s">
        <v>75</v>
      </c>
    </row>
    <row r="5">
      <c r="A5" s="1" t="s">
        <v>77</v>
      </c>
      <c r="B5" s="1" t="s">
        <v>78</v>
      </c>
      <c r="C5" s="1" t="s">
        <v>30</v>
      </c>
      <c r="D5" s="1" t="s">
        <v>81</v>
      </c>
      <c r="E5" s="1" t="s">
        <v>82</v>
      </c>
      <c r="F5" s="1" t="s">
        <v>83</v>
      </c>
      <c r="G5" s="1" t="s">
        <v>34</v>
      </c>
      <c r="H5" s="5">
        <v>1.0</v>
      </c>
      <c r="I5" s="5">
        <v>1.0</v>
      </c>
      <c r="J5" s="5">
        <v>1.0</v>
      </c>
      <c r="K5" s="1" t="s">
        <v>86</v>
      </c>
      <c r="L5" s="1" t="s">
        <v>38</v>
      </c>
      <c r="M5" s="1" t="s">
        <v>30</v>
      </c>
      <c r="N5" s="1" t="s">
        <v>40</v>
      </c>
      <c r="P5" s="1" t="s">
        <v>90</v>
      </c>
      <c r="Q5" s="1" t="s">
        <v>90</v>
      </c>
    </row>
    <row r="6">
      <c r="A6" s="1" t="s">
        <v>91</v>
      </c>
      <c r="B6" s="1" t="s">
        <v>92</v>
      </c>
      <c r="C6" s="1" t="s">
        <v>30</v>
      </c>
      <c r="D6" s="1" t="s">
        <v>94</v>
      </c>
      <c r="E6" s="1" t="s">
        <v>68</v>
      </c>
      <c r="F6" s="1" t="s">
        <v>83</v>
      </c>
      <c r="G6" s="1" t="s">
        <v>34</v>
      </c>
      <c r="H6" s="5">
        <v>1.0</v>
      </c>
      <c r="I6" s="5">
        <v>1.0</v>
      </c>
      <c r="J6" s="5">
        <v>1.0</v>
      </c>
      <c r="K6" s="1" t="s">
        <v>86</v>
      </c>
      <c r="L6" s="1" t="s">
        <v>38</v>
      </c>
      <c r="M6" s="1" t="s">
        <v>30</v>
      </c>
      <c r="N6" s="1" t="s">
        <v>40</v>
      </c>
      <c r="P6" s="1" t="s">
        <v>90</v>
      </c>
      <c r="Q6" s="1" t="s">
        <v>90</v>
      </c>
    </row>
    <row r="7">
      <c r="A7" s="1" t="s">
        <v>99</v>
      </c>
      <c r="B7" s="1" t="s">
        <v>100</v>
      </c>
      <c r="C7" s="1" t="s">
        <v>30</v>
      </c>
      <c r="D7" s="1" t="s">
        <v>101</v>
      </c>
      <c r="E7" s="1" t="s">
        <v>68</v>
      </c>
      <c r="F7" s="1" t="s">
        <v>83</v>
      </c>
      <c r="G7" s="1" t="s">
        <v>34</v>
      </c>
      <c r="H7" s="5">
        <v>1.0</v>
      </c>
      <c r="I7" s="5">
        <v>1.0</v>
      </c>
      <c r="J7" s="5">
        <v>1.0</v>
      </c>
      <c r="K7" s="1" t="s">
        <v>105</v>
      </c>
      <c r="L7" s="1" t="s">
        <v>38</v>
      </c>
      <c r="M7" s="1" t="s">
        <v>30</v>
      </c>
      <c r="N7" s="1" t="s">
        <v>40</v>
      </c>
      <c r="P7" s="1" t="s">
        <v>90</v>
      </c>
      <c r="Q7" s="1" t="s">
        <v>90</v>
      </c>
    </row>
    <row r="8">
      <c r="A8" s="1" t="s">
        <v>107</v>
      </c>
      <c r="B8" s="1" t="s">
        <v>109</v>
      </c>
      <c r="C8" s="1" t="s">
        <v>30</v>
      </c>
      <c r="D8" s="1" t="s">
        <v>94</v>
      </c>
      <c r="E8" s="1" t="s">
        <v>68</v>
      </c>
      <c r="F8" s="1" t="s">
        <v>111</v>
      </c>
      <c r="G8" s="1" t="s">
        <v>34</v>
      </c>
      <c r="H8" s="5">
        <v>1.0</v>
      </c>
      <c r="I8" s="5">
        <v>1.0</v>
      </c>
      <c r="J8" s="5">
        <v>1.0</v>
      </c>
      <c r="K8" s="1" t="s">
        <v>113</v>
      </c>
      <c r="L8" s="1" t="s">
        <v>38</v>
      </c>
      <c r="M8" s="1" t="s">
        <v>30</v>
      </c>
      <c r="N8" s="1" t="s">
        <v>40</v>
      </c>
      <c r="P8" s="1" t="s">
        <v>116</v>
      </c>
      <c r="Q8" s="1" t="s">
        <v>116</v>
      </c>
    </row>
    <row r="9">
      <c r="A9" s="1" t="s">
        <v>118</v>
      </c>
      <c r="B9" s="1" t="s">
        <v>120</v>
      </c>
      <c r="C9" s="1" t="s">
        <v>30</v>
      </c>
      <c r="D9" s="1" t="s">
        <v>121</v>
      </c>
      <c r="E9" s="1" t="s">
        <v>68</v>
      </c>
      <c r="F9" s="1" t="s">
        <v>83</v>
      </c>
      <c r="G9" s="1" t="s">
        <v>34</v>
      </c>
      <c r="H9" s="5">
        <v>1.0</v>
      </c>
      <c r="I9" s="5">
        <v>1.0</v>
      </c>
      <c r="J9" s="5">
        <v>1.0</v>
      </c>
      <c r="K9" s="1" t="s">
        <v>86</v>
      </c>
      <c r="L9" s="1" t="s">
        <v>38</v>
      </c>
      <c r="M9" s="1" t="s">
        <v>30</v>
      </c>
      <c r="N9" s="1" t="s">
        <v>40</v>
      </c>
      <c r="P9" s="1" t="s">
        <v>116</v>
      </c>
      <c r="Q9" s="1" t="s">
        <v>116</v>
      </c>
    </row>
    <row r="10">
      <c r="A10" s="1" t="s">
        <v>131</v>
      </c>
      <c r="B10" s="1" t="s">
        <v>134</v>
      </c>
      <c r="C10" s="1" t="s">
        <v>30</v>
      </c>
      <c r="D10" s="1" t="s">
        <v>137</v>
      </c>
      <c r="E10" s="1" t="s">
        <v>68</v>
      </c>
      <c r="F10" s="1" t="s">
        <v>83</v>
      </c>
      <c r="G10" s="1" t="s">
        <v>34</v>
      </c>
      <c r="H10" s="5">
        <v>1.0</v>
      </c>
      <c r="I10" s="5">
        <v>1.0</v>
      </c>
      <c r="J10" s="5">
        <v>1.0</v>
      </c>
      <c r="K10" s="1" t="s">
        <v>86</v>
      </c>
      <c r="L10" s="1" t="s">
        <v>38</v>
      </c>
      <c r="M10" s="1" t="s">
        <v>30</v>
      </c>
      <c r="N10" s="1" t="s">
        <v>40</v>
      </c>
      <c r="P10" s="1" t="s">
        <v>116</v>
      </c>
      <c r="Q10" s="1" t="s">
        <v>116</v>
      </c>
    </row>
    <row r="11">
      <c r="A11" s="1" t="s">
        <v>148</v>
      </c>
      <c r="B11" s="1" t="s">
        <v>150</v>
      </c>
      <c r="C11" s="1" t="s">
        <v>30</v>
      </c>
      <c r="D11" s="1" t="s">
        <v>152</v>
      </c>
      <c r="E11" s="1" t="s">
        <v>68</v>
      </c>
      <c r="F11" s="1" t="s">
        <v>111</v>
      </c>
      <c r="G11" s="1" t="s">
        <v>34</v>
      </c>
      <c r="H11" s="5">
        <v>1.0</v>
      </c>
      <c r="I11" s="5">
        <v>1.0</v>
      </c>
      <c r="J11" s="5">
        <v>1.0</v>
      </c>
      <c r="K11" s="1" t="s">
        <v>155</v>
      </c>
      <c r="L11" s="1" t="s">
        <v>38</v>
      </c>
      <c r="M11" s="1" t="s">
        <v>30</v>
      </c>
      <c r="N11" s="1" t="s">
        <v>40</v>
      </c>
      <c r="P11" s="1" t="s">
        <v>157</v>
      </c>
      <c r="Q11" s="1" t="s">
        <v>157</v>
      </c>
    </row>
    <row r="12">
      <c r="A12" s="1" t="s">
        <v>158</v>
      </c>
      <c r="B12" s="1" t="s">
        <v>159</v>
      </c>
      <c r="C12" s="1" t="s">
        <v>30</v>
      </c>
      <c r="D12" s="1" t="s">
        <v>160</v>
      </c>
      <c r="E12" s="1" t="s">
        <v>68</v>
      </c>
      <c r="F12" s="1" t="s">
        <v>111</v>
      </c>
      <c r="G12" s="1" t="s">
        <v>34</v>
      </c>
      <c r="H12" s="5">
        <v>1.0</v>
      </c>
      <c r="I12" s="5">
        <v>1.0</v>
      </c>
      <c r="J12" s="5">
        <v>1.0</v>
      </c>
      <c r="K12" s="1" t="s">
        <v>72</v>
      </c>
      <c r="L12" s="1" t="s">
        <v>38</v>
      </c>
      <c r="M12" s="1" t="s">
        <v>30</v>
      </c>
      <c r="N12" s="1" t="s">
        <v>40</v>
      </c>
      <c r="P12" s="1" t="s">
        <v>164</v>
      </c>
      <c r="Q12" s="1" t="s">
        <v>164</v>
      </c>
    </row>
    <row r="13">
      <c r="A13" s="1" t="s">
        <v>165</v>
      </c>
      <c r="B13" s="1" t="s">
        <v>167</v>
      </c>
      <c r="C13" s="1" t="s">
        <v>30</v>
      </c>
      <c r="D13" s="1" t="s">
        <v>168</v>
      </c>
      <c r="E13" s="1" t="s">
        <v>68</v>
      </c>
      <c r="F13" s="1" t="s">
        <v>111</v>
      </c>
      <c r="G13" s="1" t="s">
        <v>34</v>
      </c>
      <c r="H13" s="5">
        <v>1.0</v>
      </c>
      <c r="I13" s="5">
        <v>1.0</v>
      </c>
      <c r="J13" s="5">
        <v>1.0</v>
      </c>
      <c r="K13" s="1" t="s">
        <v>169</v>
      </c>
      <c r="L13" s="1" t="s">
        <v>38</v>
      </c>
      <c r="M13" s="1" t="s">
        <v>30</v>
      </c>
      <c r="N13" s="1" t="s">
        <v>40</v>
      </c>
      <c r="P13" s="1" t="s">
        <v>172</v>
      </c>
      <c r="Q13" s="1" t="s">
        <v>173</v>
      </c>
    </row>
    <row r="14">
      <c r="A14" s="1" t="s">
        <v>174</v>
      </c>
      <c r="B14" s="1" t="s">
        <v>164</v>
      </c>
      <c r="C14" s="1" t="s">
        <v>30</v>
      </c>
      <c r="D14" s="1" t="s">
        <v>175</v>
      </c>
      <c r="E14" s="1" t="s">
        <v>32</v>
      </c>
      <c r="F14" s="1" t="s">
        <v>33</v>
      </c>
      <c r="G14" s="1" t="s">
        <v>34</v>
      </c>
      <c r="H14" s="5">
        <v>1.0</v>
      </c>
      <c r="I14" s="5">
        <v>1.0</v>
      </c>
      <c r="J14" s="5">
        <v>1.0</v>
      </c>
      <c r="K14" s="1" t="s">
        <v>177</v>
      </c>
      <c r="L14" s="1" t="s">
        <v>38</v>
      </c>
      <c r="M14" s="1" t="s">
        <v>30</v>
      </c>
      <c r="N14" s="1" t="s">
        <v>40</v>
      </c>
      <c r="P14" s="1" t="s">
        <v>172</v>
      </c>
      <c r="Q14" s="1" t="s">
        <v>172</v>
      </c>
    </row>
    <row r="15">
      <c r="A15" s="1" t="s">
        <v>180</v>
      </c>
      <c r="B15" s="1" t="s">
        <v>181</v>
      </c>
      <c r="C15" s="1" t="s">
        <v>44</v>
      </c>
      <c r="D15" s="1" t="s">
        <v>182</v>
      </c>
      <c r="E15" s="1" t="s">
        <v>53</v>
      </c>
      <c r="F15" s="1" t="s">
        <v>83</v>
      </c>
      <c r="G15" s="1" t="s">
        <v>184</v>
      </c>
      <c r="H15" s="5">
        <v>1.0</v>
      </c>
      <c r="I15" s="5">
        <v>1.0</v>
      </c>
      <c r="J15" s="5">
        <v>1.0</v>
      </c>
      <c r="K15" s="1" t="s">
        <v>186</v>
      </c>
      <c r="L15" s="1" t="s">
        <v>38</v>
      </c>
      <c r="M15" s="1" t="s">
        <v>187</v>
      </c>
      <c r="N15" s="1" t="s">
        <v>40</v>
      </c>
      <c r="P15" s="1" t="s">
        <v>188</v>
      </c>
      <c r="Q15" s="1" t="s">
        <v>189</v>
      </c>
    </row>
    <row r="16">
      <c r="A16" s="1" t="s">
        <v>191</v>
      </c>
      <c r="B16" s="1" t="s">
        <v>192</v>
      </c>
      <c r="C16" s="1" t="s">
        <v>30</v>
      </c>
      <c r="D16" s="1" t="s">
        <v>193</v>
      </c>
      <c r="E16" s="1" t="s">
        <v>35</v>
      </c>
      <c r="F16" s="1" t="s">
        <v>83</v>
      </c>
      <c r="G16" s="1" t="s">
        <v>34</v>
      </c>
      <c r="H16" s="5">
        <v>1.0</v>
      </c>
      <c r="I16" s="5">
        <v>1.0</v>
      </c>
      <c r="J16" s="5">
        <v>1.0</v>
      </c>
      <c r="K16" s="1" t="s">
        <v>86</v>
      </c>
      <c r="L16" s="1" t="s">
        <v>38</v>
      </c>
      <c r="M16" s="1" t="s">
        <v>30</v>
      </c>
      <c r="N16" s="1" t="s">
        <v>40</v>
      </c>
      <c r="P16" s="1" t="s">
        <v>196</v>
      </c>
      <c r="Q16" s="1" t="s">
        <v>196</v>
      </c>
    </row>
    <row r="17">
      <c r="A17" s="1" t="s">
        <v>197</v>
      </c>
      <c r="B17" s="1" t="s">
        <v>198</v>
      </c>
      <c r="C17" s="1" t="s">
        <v>30</v>
      </c>
      <c r="D17" s="1" t="s">
        <v>200</v>
      </c>
      <c r="E17" s="1" t="s">
        <v>68</v>
      </c>
      <c r="F17" s="1" t="s">
        <v>83</v>
      </c>
      <c r="G17" s="1" t="s">
        <v>34</v>
      </c>
      <c r="H17" s="5">
        <v>1.0</v>
      </c>
      <c r="I17" s="5">
        <v>1.0</v>
      </c>
      <c r="J17" s="5">
        <v>1.0</v>
      </c>
      <c r="K17" s="1" t="s">
        <v>86</v>
      </c>
      <c r="L17" s="1" t="s">
        <v>38</v>
      </c>
      <c r="M17" s="1" t="s">
        <v>30</v>
      </c>
      <c r="N17" s="1" t="s">
        <v>40</v>
      </c>
      <c r="P17" s="1" t="s">
        <v>196</v>
      </c>
      <c r="Q17" s="1" t="s">
        <v>196</v>
      </c>
    </row>
    <row r="18">
      <c r="A18" s="1" t="s">
        <v>202</v>
      </c>
      <c r="B18" s="1" t="s">
        <v>198</v>
      </c>
      <c r="C18" s="1" t="s">
        <v>30</v>
      </c>
      <c r="D18" s="1" t="s">
        <v>203</v>
      </c>
      <c r="E18" s="1" t="s">
        <v>68</v>
      </c>
      <c r="F18" s="1" t="s">
        <v>83</v>
      </c>
      <c r="G18" s="1" t="s">
        <v>34</v>
      </c>
      <c r="H18" s="5">
        <v>1.0</v>
      </c>
      <c r="I18" s="5">
        <v>1.0</v>
      </c>
      <c r="J18" s="5">
        <v>1.0</v>
      </c>
      <c r="K18" s="1" t="s">
        <v>105</v>
      </c>
      <c r="L18" s="1" t="s">
        <v>38</v>
      </c>
      <c r="M18" s="1" t="s">
        <v>30</v>
      </c>
      <c r="N18" s="1" t="s">
        <v>40</v>
      </c>
      <c r="P18" s="1" t="s">
        <v>196</v>
      </c>
      <c r="Q18" s="1" t="s">
        <v>196</v>
      </c>
    </row>
    <row r="19">
      <c r="A19" s="1" t="s">
        <v>206</v>
      </c>
      <c r="B19" s="1" t="s">
        <v>208</v>
      </c>
      <c r="C19" s="1" t="s">
        <v>30</v>
      </c>
      <c r="D19" s="1" t="s">
        <v>209</v>
      </c>
      <c r="E19" s="1" t="s">
        <v>82</v>
      </c>
      <c r="F19" s="1" t="s">
        <v>33</v>
      </c>
      <c r="G19" s="1" t="s">
        <v>34</v>
      </c>
      <c r="H19" s="5">
        <v>1.0</v>
      </c>
      <c r="I19" s="5">
        <v>1.0</v>
      </c>
      <c r="J19" s="5">
        <v>1.0</v>
      </c>
      <c r="K19" s="1" t="s">
        <v>211</v>
      </c>
      <c r="L19" s="1" t="s">
        <v>38</v>
      </c>
      <c r="M19" s="1" t="s">
        <v>30</v>
      </c>
      <c r="N19" s="1" t="s">
        <v>40</v>
      </c>
      <c r="P19" s="1" t="s">
        <v>213</v>
      </c>
      <c r="Q19" s="1" t="s">
        <v>213</v>
      </c>
    </row>
    <row r="20">
      <c r="A20" s="1" t="s">
        <v>214</v>
      </c>
      <c r="B20" s="1" t="s">
        <v>215</v>
      </c>
      <c r="C20" s="1" t="s">
        <v>30</v>
      </c>
      <c r="D20" s="1" t="s">
        <v>216</v>
      </c>
      <c r="E20" s="1" t="s">
        <v>32</v>
      </c>
      <c r="F20" s="1" t="s">
        <v>83</v>
      </c>
      <c r="G20" s="1" t="s">
        <v>34</v>
      </c>
      <c r="H20" s="5">
        <v>1.0</v>
      </c>
      <c r="I20" s="5">
        <v>1.0</v>
      </c>
      <c r="J20" s="5">
        <v>1.0</v>
      </c>
      <c r="K20" s="1" t="s">
        <v>105</v>
      </c>
      <c r="L20" s="1" t="s">
        <v>38</v>
      </c>
      <c r="M20" s="1" t="s">
        <v>30</v>
      </c>
      <c r="N20" s="1" t="s">
        <v>40</v>
      </c>
      <c r="P20" s="1" t="s">
        <v>218</v>
      </c>
      <c r="Q20" s="1" t="s">
        <v>196</v>
      </c>
    </row>
    <row r="21">
      <c r="A21" s="1" t="s">
        <v>220</v>
      </c>
      <c r="B21" s="1" t="s">
        <v>221</v>
      </c>
      <c r="C21" s="1" t="s">
        <v>30</v>
      </c>
      <c r="D21" s="1" t="s">
        <v>222</v>
      </c>
      <c r="E21" s="1" t="s">
        <v>223</v>
      </c>
      <c r="F21" s="1" t="s">
        <v>33</v>
      </c>
      <c r="G21" s="1" t="s">
        <v>34</v>
      </c>
      <c r="H21" s="5">
        <v>1.0</v>
      </c>
      <c r="I21" s="5">
        <v>1.0</v>
      </c>
      <c r="J21" s="5">
        <v>1.0</v>
      </c>
      <c r="K21" s="1" t="s">
        <v>211</v>
      </c>
      <c r="L21" s="1" t="s">
        <v>38</v>
      </c>
      <c r="M21" s="1" t="s">
        <v>30</v>
      </c>
      <c r="N21" s="1" t="s">
        <v>40</v>
      </c>
      <c r="P21" s="1" t="s">
        <v>213</v>
      </c>
      <c r="Q21" s="1" t="s">
        <v>213</v>
      </c>
    </row>
    <row r="22">
      <c r="A22" s="1" t="s">
        <v>229</v>
      </c>
      <c r="B22" s="1" t="s">
        <v>231</v>
      </c>
      <c r="C22" s="1" t="s">
        <v>30</v>
      </c>
      <c r="D22" s="1" t="s">
        <v>232</v>
      </c>
      <c r="E22" s="1" t="s">
        <v>54</v>
      </c>
      <c r="F22" s="1" t="s">
        <v>58</v>
      </c>
      <c r="G22" s="1" t="s">
        <v>233</v>
      </c>
      <c r="H22" s="5">
        <v>1.0</v>
      </c>
      <c r="I22" s="5">
        <v>2.0</v>
      </c>
      <c r="J22" s="5">
        <v>2.0</v>
      </c>
      <c r="K22" s="1" t="s">
        <v>234</v>
      </c>
      <c r="L22" s="1" t="s">
        <v>38</v>
      </c>
      <c r="M22" s="1" t="s">
        <v>187</v>
      </c>
      <c r="N22" s="1" t="s">
        <v>40</v>
      </c>
      <c r="P22" s="1" t="s">
        <v>235</v>
      </c>
      <c r="Q22" s="1" t="s">
        <v>189</v>
      </c>
    </row>
    <row r="23">
      <c r="A23" s="1" t="s">
        <v>237</v>
      </c>
      <c r="B23" s="1" t="s">
        <v>238</v>
      </c>
      <c r="C23" s="1" t="s">
        <v>23</v>
      </c>
      <c r="D23" s="1" t="s">
        <v>239</v>
      </c>
      <c r="E23" s="1" t="s">
        <v>68</v>
      </c>
      <c r="F23" s="1" t="s">
        <v>83</v>
      </c>
      <c r="G23" s="1" t="s">
        <v>34</v>
      </c>
      <c r="H23" s="5">
        <v>1.0</v>
      </c>
      <c r="I23" s="5">
        <v>1.0</v>
      </c>
      <c r="J23" s="5">
        <v>1.0</v>
      </c>
      <c r="L23" s="1" t="s">
        <v>38</v>
      </c>
      <c r="M23" s="1" t="s">
        <v>23</v>
      </c>
      <c r="N23" s="1" t="s">
        <v>40</v>
      </c>
      <c r="P23" s="1" t="s">
        <v>241</v>
      </c>
      <c r="Q23" s="1" t="s">
        <v>241</v>
      </c>
    </row>
    <row r="24">
      <c r="A24" s="1" t="s">
        <v>242</v>
      </c>
      <c r="B24" s="1" t="s">
        <v>243</v>
      </c>
      <c r="C24" s="1" t="s">
        <v>23</v>
      </c>
      <c r="D24" s="1" t="s">
        <v>245</v>
      </c>
      <c r="E24" s="1" t="s">
        <v>228</v>
      </c>
      <c r="F24" s="1" t="s">
        <v>33</v>
      </c>
      <c r="G24" s="1" t="s">
        <v>34</v>
      </c>
      <c r="H24" s="5">
        <v>1.0</v>
      </c>
      <c r="I24" s="5">
        <v>1.0</v>
      </c>
      <c r="J24" s="5">
        <v>1.0</v>
      </c>
      <c r="L24" s="1" t="s">
        <v>38</v>
      </c>
      <c r="M24" s="1" t="s">
        <v>23</v>
      </c>
      <c r="N24" s="1" t="s">
        <v>40</v>
      </c>
      <c r="P24" s="1" t="s">
        <v>241</v>
      </c>
      <c r="Q24" s="1" t="s">
        <v>241</v>
      </c>
    </row>
    <row r="25">
      <c r="A25" s="1" t="s">
        <v>249</v>
      </c>
      <c r="B25" s="1" t="s">
        <v>250</v>
      </c>
      <c r="C25" s="1" t="s">
        <v>23</v>
      </c>
      <c r="D25" s="1" t="s">
        <v>251</v>
      </c>
      <c r="E25" s="1" t="s">
        <v>68</v>
      </c>
      <c r="F25" s="1" t="s">
        <v>111</v>
      </c>
      <c r="G25" s="1" t="s">
        <v>34</v>
      </c>
      <c r="H25" s="5">
        <v>1.0</v>
      </c>
      <c r="I25" s="5">
        <v>1.0</v>
      </c>
      <c r="J25" s="5">
        <v>1.0</v>
      </c>
      <c r="L25" s="1" t="s">
        <v>38</v>
      </c>
      <c r="M25" s="1" t="s">
        <v>23</v>
      </c>
      <c r="N25" s="1" t="s">
        <v>40</v>
      </c>
      <c r="P25" s="1" t="s">
        <v>241</v>
      </c>
      <c r="Q25" s="1" t="s">
        <v>241</v>
      </c>
    </row>
    <row r="26">
      <c r="A26" s="1" t="s">
        <v>254</v>
      </c>
      <c r="B26" s="1" t="s">
        <v>255</v>
      </c>
      <c r="C26" s="1" t="s">
        <v>23</v>
      </c>
      <c r="D26" s="1" t="s">
        <v>256</v>
      </c>
      <c r="E26" s="1" t="s">
        <v>35</v>
      </c>
      <c r="F26" s="1" t="s">
        <v>83</v>
      </c>
      <c r="G26" s="1" t="s">
        <v>258</v>
      </c>
      <c r="H26" s="5">
        <v>1.0</v>
      </c>
      <c r="I26" s="5">
        <v>1.0</v>
      </c>
      <c r="J26" s="5">
        <v>1.0</v>
      </c>
      <c r="L26" s="1" t="s">
        <v>38</v>
      </c>
      <c r="M26" s="1" t="s">
        <v>23</v>
      </c>
      <c r="N26" s="1" t="s">
        <v>40</v>
      </c>
      <c r="P26" s="1" t="s">
        <v>241</v>
      </c>
      <c r="Q26" s="1" t="s">
        <v>241</v>
      </c>
    </row>
    <row r="27">
      <c r="A27" s="1" t="s">
        <v>261</v>
      </c>
      <c r="B27" s="1" t="s">
        <v>262</v>
      </c>
      <c r="C27" s="1" t="s">
        <v>23</v>
      </c>
      <c r="D27" s="1" t="s">
        <v>239</v>
      </c>
      <c r="E27" s="1" t="s">
        <v>68</v>
      </c>
      <c r="F27" s="1" t="s">
        <v>83</v>
      </c>
      <c r="G27" s="1" t="s">
        <v>34</v>
      </c>
      <c r="H27" s="5">
        <v>1.0</v>
      </c>
      <c r="I27" s="5">
        <v>1.0</v>
      </c>
      <c r="J27" s="5">
        <v>1.0</v>
      </c>
      <c r="K27" s="1" t="s">
        <v>265</v>
      </c>
      <c r="L27" s="1" t="s">
        <v>38</v>
      </c>
      <c r="M27" s="1" t="s">
        <v>23</v>
      </c>
      <c r="N27" s="1" t="s">
        <v>266</v>
      </c>
      <c r="P27" s="1" t="s">
        <v>241</v>
      </c>
      <c r="Q27" s="1" t="s">
        <v>267</v>
      </c>
    </row>
    <row r="28">
      <c r="A28" s="1" t="s">
        <v>268</v>
      </c>
      <c r="B28" s="1" t="s">
        <v>270</v>
      </c>
      <c r="C28" s="1" t="s">
        <v>23</v>
      </c>
      <c r="D28" s="1" t="s">
        <v>271</v>
      </c>
      <c r="E28" s="1" t="s">
        <v>228</v>
      </c>
      <c r="F28" s="1" t="s">
        <v>33</v>
      </c>
      <c r="G28" s="1" t="s">
        <v>34</v>
      </c>
      <c r="H28" s="5">
        <v>1.0</v>
      </c>
      <c r="I28" s="5">
        <v>1.0</v>
      </c>
      <c r="J28" s="5">
        <v>1.0</v>
      </c>
      <c r="K28" s="1" t="s">
        <v>272</v>
      </c>
      <c r="L28" s="1" t="s">
        <v>38</v>
      </c>
      <c r="M28" s="1" t="s">
        <v>274</v>
      </c>
      <c r="N28" s="1" t="s">
        <v>40</v>
      </c>
      <c r="O28" s="1" t="s">
        <v>275</v>
      </c>
      <c r="P28" s="1" t="s">
        <v>241</v>
      </c>
      <c r="Q28" s="1" t="s">
        <v>276</v>
      </c>
    </row>
    <row r="29">
      <c r="A29" s="1" t="s">
        <v>277</v>
      </c>
      <c r="B29" s="1" t="s">
        <v>279</v>
      </c>
      <c r="C29" s="1" t="s">
        <v>23</v>
      </c>
      <c r="D29" s="1" t="s">
        <v>280</v>
      </c>
      <c r="E29" s="1" t="s">
        <v>68</v>
      </c>
      <c r="F29" s="1" t="s">
        <v>111</v>
      </c>
      <c r="G29" s="1" t="s">
        <v>34</v>
      </c>
      <c r="H29" s="5">
        <v>1.0</v>
      </c>
      <c r="I29" s="5">
        <v>1.0</v>
      </c>
      <c r="J29" s="5">
        <v>1.0</v>
      </c>
      <c r="K29" s="1" t="s">
        <v>281</v>
      </c>
      <c r="L29" s="1" t="s">
        <v>38</v>
      </c>
      <c r="M29" s="1" t="s">
        <v>23</v>
      </c>
      <c r="N29" s="1" t="s">
        <v>40</v>
      </c>
      <c r="P29" s="1" t="s">
        <v>241</v>
      </c>
      <c r="Q29" s="1" t="s">
        <v>241</v>
      </c>
    </row>
    <row r="30">
      <c r="A30" s="1" t="s">
        <v>283</v>
      </c>
      <c r="B30" s="1" t="s">
        <v>284</v>
      </c>
      <c r="C30" s="1" t="s">
        <v>23</v>
      </c>
      <c r="D30" s="1" t="s">
        <v>285</v>
      </c>
      <c r="E30" s="1" t="s">
        <v>35</v>
      </c>
      <c r="F30" s="1" t="s">
        <v>83</v>
      </c>
      <c r="G30" s="1" t="s">
        <v>34</v>
      </c>
      <c r="H30" s="5">
        <v>1.0</v>
      </c>
      <c r="I30" s="5">
        <v>1.0</v>
      </c>
      <c r="J30" s="5">
        <v>1.0</v>
      </c>
      <c r="K30" s="1" t="s">
        <v>288</v>
      </c>
      <c r="L30" s="1" t="s">
        <v>38</v>
      </c>
      <c r="M30" s="1" t="s">
        <v>23</v>
      </c>
      <c r="N30" s="1" t="s">
        <v>40</v>
      </c>
      <c r="P30" s="1" t="s">
        <v>241</v>
      </c>
      <c r="Q30" s="1" t="s">
        <v>241</v>
      </c>
    </row>
    <row r="31">
      <c r="A31" s="1" t="s">
        <v>290</v>
      </c>
      <c r="B31" s="1" t="s">
        <v>291</v>
      </c>
      <c r="C31" s="1" t="s">
        <v>23</v>
      </c>
      <c r="D31" s="1" t="s">
        <v>292</v>
      </c>
      <c r="E31" s="1" t="s">
        <v>54</v>
      </c>
      <c r="F31" s="1" t="s">
        <v>33</v>
      </c>
      <c r="G31" s="1" t="s">
        <v>293</v>
      </c>
      <c r="H31" s="5">
        <v>1.0</v>
      </c>
      <c r="I31" s="5">
        <v>1.0</v>
      </c>
      <c r="J31" s="5">
        <v>1.0</v>
      </c>
      <c r="K31" s="1" t="s">
        <v>296</v>
      </c>
      <c r="L31" s="1" t="s">
        <v>38</v>
      </c>
      <c r="M31" s="1" t="s">
        <v>23</v>
      </c>
      <c r="N31" s="1" t="s">
        <v>40</v>
      </c>
      <c r="P31" s="1" t="s">
        <v>297</v>
      </c>
      <c r="Q31" s="1" t="s">
        <v>297</v>
      </c>
    </row>
    <row r="32">
      <c r="A32" s="1" t="s">
        <v>298</v>
      </c>
      <c r="B32" s="1" t="s">
        <v>299</v>
      </c>
      <c r="C32" s="1" t="s">
        <v>23</v>
      </c>
      <c r="D32" s="1" t="s">
        <v>301</v>
      </c>
      <c r="E32" s="1" t="s">
        <v>140</v>
      </c>
      <c r="F32" s="1" t="s">
        <v>33</v>
      </c>
      <c r="G32" s="1" t="s">
        <v>293</v>
      </c>
      <c r="H32" s="5">
        <v>1.0</v>
      </c>
      <c r="I32" s="5">
        <v>1.0</v>
      </c>
      <c r="J32" s="5">
        <v>1.0</v>
      </c>
      <c r="K32" s="1" t="s">
        <v>303</v>
      </c>
      <c r="L32" s="1" t="s">
        <v>38</v>
      </c>
      <c r="M32" s="1" t="s">
        <v>23</v>
      </c>
      <c r="N32" s="1" t="s">
        <v>40</v>
      </c>
      <c r="P32" s="1" t="s">
        <v>297</v>
      </c>
      <c r="Q32" s="1" t="s">
        <v>297</v>
      </c>
    </row>
    <row r="33">
      <c r="A33" s="1" t="s">
        <v>305</v>
      </c>
      <c r="B33" s="1" t="s">
        <v>306</v>
      </c>
      <c r="C33" s="1" t="s">
        <v>23</v>
      </c>
      <c r="D33" s="1" t="s">
        <v>307</v>
      </c>
      <c r="E33" s="1" t="s">
        <v>228</v>
      </c>
      <c r="F33" s="1" t="s">
        <v>33</v>
      </c>
      <c r="G33" s="1" t="s">
        <v>293</v>
      </c>
      <c r="H33" s="5">
        <v>1.0</v>
      </c>
      <c r="I33" s="5">
        <v>1.0</v>
      </c>
      <c r="J33" s="5">
        <v>1.0</v>
      </c>
      <c r="K33" s="1" t="s">
        <v>309</v>
      </c>
      <c r="L33" s="1" t="s">
        <v>38</v>
      </c>
      <c r="M33" s="1" t="s">
        <v>23</v>
      </c>
      <c r="N33" s="1" t="s">
        <v>40</v>
      </c>
      <c r="P33" s="1" t="s">
        <v>297</v>
      </c>
      <c r="Q33" s="1" t="s">
        <v>297</v>
      </c>
    </row>
    <row r="34">
      <c r="A34" s="1" t="s">
        <v>311</v>
      </c>
      <c r="B34" s="1" t="s">
        <v>313</v>
      </c>
      <c r="C34" s="1" t="s">
        <v>23</v>
      </c>
      <c r="D34" s="1" t="s">
        <v>314</v>
      </c>
      <c r="E34" s="1" t="s">
        <v>68</v>
      </c>
      <c r="F34" s="1" t="s">
        <v>83</v>
      </c>
      <c r="G34" s="1" t="s">
        <v>293</v>
      </c>
      <c r="H34" s="5">
        <v>1.0</v>
      </c>
      <c r="I34" s="5">
        <v>1.0</v>
      </c>
      <c r="J34" s="5">
        <v>1.0</v>
      </c>
      <c r="K34" s="1" t="s">
        <v>316</v>
      </c>
      <c r="L34" s="1" t="s">
        <v>38</v>
      </c>
      <c r="M34" s="1" t="s">
        <v>23</v>
      </c>
      <c r="N34" s="1" t="s">
        <v>40</v>
      </c>
      <c r="P34" s="1" t="s">
        <v>297</v>
      </c>
      <c r="Q34" s="1" t="s">
        <v>297</v>
      </c>
    </row>
    <row r="35">
      <c r="A35" s="1" t="s">
        <v>318</v>
      </c>
      <c r="B35" s="1" t="s">
        <v>319</v>
      </c>
      <c r="C35" s="1" t="s">
        <v>30</v>
      </c>
      <c r="D35" s="1" t="s">
        <v>320</v>
      </c>
      <c r="E35" s="1" t="s">
        <v>183</v>
      </c>
      <c r="F35" s="1" t="s">
        <v>83</v>
      </c>
      <c r="G35" s="1" t="s">
        <v>233</v>
      </c>
      <c r="H35" s="5">
        <v>1.0</v>
      </c>
      <c r="I35" s="5">
        <v>2.0</v>
      </c>
      <c r="J35" s="5">
        <v>2.0</v>
      </c>
      <c r="K35" s="1" t="s">
        <v>234</v>
      </c>
      <c r="L35" s="1" t="s">
        <v>38</v>
      </c>
      <c r="M35" s="1" t="s">
        <v>187</v>
      </c>
      <c r="N35" s="1" t="s">
        <v>40</v>
      </c>
      <c r="O35" s="1" t="s">
        <v>324</v>
      </c>
      <c r="P35" s="1" t="s">
        <v>326</v>
      </c>
      <c r="Q35" s="1" t="s">
        <v>327</v>
      </c>
    </row>
    <row r="36">
      <c r="A36" s="1" t="s">
        <v>328</v>
      </c>
      <c r="B36" s="1" t="s">
        <v>329</v>
      </c>
      <c r="C36" s="1" t="s">
        <v>30</v>
      </c>
      <c r="D36" s="1" t="s">
        <v>330</v>
      </c>
      <c r="E36" s="1" t="s">
        <v>140</v>
      </c>
      <c r="F36" s="1" t="s">
        <v>33</v>
      </c>
      <c r="G36" s="1" t="s">
        <v>184</v>
      </c>
      <c r="H36" s="5">
        <v>1.0</v>
      </c>
      <c r="I36" s="5">
        <v>1.0</v>
      </c>
      <c r="J36" s="5">
        <v>1.0</v>
      </c>
      <c r="K36" s="1" t="s">
        <v>333</v>
      </c>
      <c r="L36" s="1" t="s">
        <v>38</v>
      </c>
      <c r="M36" s="1" t="s">
        <v>274</v>
      </c>
      <c r="N36" s="1" t="s">
        <v>40</v>
      </c>
      <c r="O36" s="1" t="s">
        <v>336</v>
      </c>
      <c r="P36" s="1" t="s">
        <v>337</v>
      </c>
      <c r="Q36" s="1" t="s">
        <v>338</v>
      </c>
    </row>
    <row r="37">
      <c r="A37" s="1" t="s">
        <v>339</v>
      </c>
      <c r="B37" s="1" t="s">
        <v>340</v>
      </c>
      <c r="C37" s="1" t="s">
        <v>30</v>
      </c>
      <c r="D37" s="1" t="s">
        <v>341</v>
      </c>
      <c r="E37" s="1" t="s">
        <v>35</v>
      </c>
      <c r="F37" s="1" t="s">
        <v>33</v>
      </c>
      <c r="G37" s="1" t="s">
        <v>184</v>
      </c>
      <c r="H37" s="5">
        <v>1.0</v>
      </c>
      <c r="I37" s="5">
        <v>1.0</v>
      </c>
      <c r="J37" s="5">
        <v>1.0</v>
      </c>
      <c r="K37" s="1" t="s">
        <v>343</v>
      </c>
      <c r="L37" s="1" t="s">
        <v>38</v>
      </c>
      <c r="M37" s="1" t="s">
        <v>274</v>
      </c>
      <c r="N37" s="1" t="s">
        <v>266</v>
      </c>
      <c r="P37" s="1" t="s">
        <v>345</v>
      </c>
      <c r="Q37" s="1" t="s">
        <v>346</v>
      </c>
    </row>
    <row r="38">
      <c r="A38" s="1" t="s">
        <v>347</v>
      </c>
      <c r="B38" s="1" t="s">
        <v>348</v>
      </c>
      <c r="C38" s="1" t="s">
        <v>30</v>
      </c>
      <c r="D38" s="1" t="s">
        <v>349</v>
      </c>
      <c r="E38" s="1" t="s">
        <v>183</v>
      </c>
      <c r="F38" s="1" t="s">
        <v>33</v>
      </c>
      <c r="G38" s="1" t="s">
        <v>184</v>
      </c>
      <c r="H38" s="5">
        <v>1.0</v>
      </c>
      <c r="I38" s="5">
        <v>1.0</v>
      </c>
      <c r="J38" s="5">
        <v>1.0</v>
      </c>
      <c r="K38" s="1" t="s">
        <v>343</v>
      </c>
      <c r="L38" s="1" t="s">
        <v>38</v>
      </c>
      <c r="M38" s="1" t="s">
        <v>274</v>
      </c>
      <c r="N38" s="1" t="s">
        <v>266</v>
      </c>
      <c r="P38" s="1" t="s">
        <v>352</v>
      </c>
      <c r="Q38" s="1" t="s">
        <v>352</v>
      </c>
    </row>
    <row r="39">
      <c r="A39" s="1" t="s">
        <v>354</v>
      </c>
      <c r="B39" s="1" t="s">
        <v>355</v>
      </c>
      <c r="C39" s="1" t="s">
        <v>30</v>
      </c>
      <c r="D39" s="1" t="s">
        <v>356</v>
      </c>
      <c r="E39" s="1" t="s">
        <v>35</v>
      </c>
      <c r="F39" s="1" t="s">
        <v>33</v>
      </c>
      <c r="G39" s="1" t="s">
        <v>293</v>
      </c>
      <c r="H39" s="5">
        <v>1.0</v>
      </c>
      <c r="I39" s="5">
        <v>1.0</v>
      </c>
      <c r="J39" s="5">
        <v>1.0</v>
      </c>
      <c r="K39" s="1" t="s">
        <v>357</v>
      </c>
      <c r="L39" s="1" t="s">
        <v>38</v>
      </c>
      <c r="M39" s="1" t="s">
        <v>30</v>
      </c>
      <c r="N39" s="1" t="s">
        <v>40</v>
      </c>
      <c r="P39" s="1" t="s">
        <v>355</v>
      </c>
      <c r="Q39" s="1" t="s">
        <v>355</v>
      </c>
    </row>
    <row r="40">
      <c r="A40" s="1" t="s">
        <v>359</v>
      </c>
      <c r="B40" s="1" t="s">
        <v>360</v>
      </c>
      <c r="C40" s="1" t="s">
        <v>30</v>
      </c>
      <c r="D40" s="1" t="s">
        <v>361</v>
      </c>
      <c r="E40" s="1" t="s">
        <v>53</v>
      </c>
      <c r="F40" s="1" t="s">
        <v>33</v>
      </c>
      <c r="G40" s="1" t="s">
        <v>293</v>
      </c>
      <c r="H40" s="5">
        <v>1.0</v>
      </c>
      <c r="I40" s="5">
        <v>1.0</v>
      </c>
      <c r="J40" s="5">
        <v>1.0</v>
      </c>
      <c r="K40" s="1" t="s">
        <v>364</v>
      </c>
      <c r="L40" s="1" t="s">
        <v>38</v>
      </c>
      <c r="M40" s="1" t="s">
        <v>30</v>
      </c>
      <c r="N40" s="1" t="s">
        <v>40</v>
      </c>
      <c r="P40" s="1" t="s">
        <v>360</v>
      </c>
      <c r="Q40" s="1" t="s">
        <v>360</v>
      </c>
    </row>
    <row r="41">
      <c r="A41" s="1" t="s">
        <v>367</v>
      </c>
      <c r="B41" s="1" t="s">
        <v>368</v>
      </c>
      <c r="C41" s="1" t="s">
        <v>23</v>
      </c>
      <c r="D41" s="1" t="s">
        <v>369</v>
      </c>
      <c r="E41" s="1" t="s">
        <v>263</v>
      </c>
      <c r="F41" s="1" t="s">
        <v>33</v>
      </c>
      <c r="G41" s="1" t="s">
        <v>184</v>
      </c>
      <c r="H41" s="5">
        <v>1.0</v>
      </c>
      <c r="I41" s="5">
        <v>1.0</v>
      </c>
      <c r="J41" s="5">
        <v>1.0</v>
      </c>
      <c r="K41" s="1" t="s">
        <v>371</v>
      </c>
      <c r="L41" s="1" t="s">
        <v>38</v>
      </c>
      <c r="M41" s="1" t="s">
        <v>274</v>
      </c>
      <c r="N41" s="1" t="s">
        <v>266</v>
      </c>
      <c r="O41" s="1" t="s">
        <v>372</v>
      </c>
      <c r="P41" s="1" t="s">
        <v>374</v>
      </c>
      <c r="Q41" s="1" t="s">
        <v>374</v>
      </c>
    </row>
    <row r="42">
      <c r="A42" s="1" t="s">
        <v>376</v>
      </c>
      <c r="B42" s="1" t="s">
        <v>377</v>
      </c>
      <c r="C42" s="1" t="s">
        <v>64</v>
      </c>
      <c r="D42" s="1" t="s">
        <v>378</v>
      </c>
      <c r="E42" s="1" t="s">
        <v>68</v>
      </c>
      <c r="F42" s="1" t="s">
        <v>83</v>
      </c>
      <c r="G42" s="1" t="s">
        <v>184</v>
      </c>
      <c r="H42" s="5">
        <v>1.0</v>
      </c>
      <c r="I42" s="5">
        <v>1.0</v>
      </c>
      <c r="J42" s="5">
        <v>1.0</v>
      </c>
      <c r="K42" s="1" t="s">
        <v>380</v>
      </c>
      <c r="L42" s="1" t="s">
        <v>38</v>
      </c>
      <c r="M42" s="1" t="s">
        <v>64</v>
      </c>
      <c r="N42" s="1" t="s">
        <v>266</v>
      </c>
      <c r="O42" s="1" t="s">
        <v>381</v>
      </c>
      <c r="P42" s="1" t="s">
        <v>382</v>
      </c>
      <c r="Q42" s="1" t="s">
        <v>382</v>
      </c>
    </row>
    <row r="43">
      <c r="A43" s="1" t="s">
        <v>367</v>
      </c>
      <c r="B43" s="1" t="s">
        <v>384</v>
      </c>
      <c r="C43" s="1" t="s">
        <v>64</v>
      </c>
      <c r="D43" s="1" t="s">
        <v>385</v>
      </c>
      <c r="E43" s="1" t="s">
        <v>53</v>
      </c>
      <c r="F43" s="1" t="s">
        <v>25</v>
      </c>
      <c r="G43" s="1" t="s">
        <v>386</v>
      </c>
      <c r="H43" s="5">
        <v>1.0</v>
      </c>
      <c r="I43" s="5">
        <v>2.0</v>
      </c>
      <c r="J43" s="5">
        <v>2.0</v>
      </c>
      <c r="K43" s="1" t="s">
        <v>234</v>
      </c>
      <c r="L43" s="1" t="s">
        <v>38</v>
      </c>
      <c r="M43" s="1" t="s">
        <v>64</v>
      </c>
      <c r="N43" s="1" t="s">
        <v>388</v>
      </c>
      <c r="O43" s="1" t="s">
        <v>381</v>
      </c>
      <c r="P43" s="1" t="s">
        <v>389</v>
      </c>
      <c r="Q43" s="1" t="s">
        <v>390</v>
      </c>
    </row>
    <row r="44">
      <c r="A44" s="1" t="s">
        <v>392</v>
      </c>
      <c r="B44" s="1" t="s">
        <v>394</v>
      </c>
      <c r="C44" s="1" t="s">
        <v>64</v>
      </c>
      <c r="D44" s="1" t="s">
        <v>395</v>
      </c>
      <c r="E44" s="1" t="s">
        <v>210</v>
      </c>
      <c r="F44" s="1" t="s">
        <v>396</v>
      </c>
      <c r="G44" s="1" t="s">
        <v>293</v>
      </c>
      <c r="H44" s="5">
        <v>1.0</v>
      </c>
      <c r="I44" s="5">
        <v>1.0</v>
      </c>
      <c r="J44" s="5">
        <v>1.0</v>
      </c>
      <c r="K44" s="1" t="s">
        <v>398</v>
      </c>
      <c r="L44" s="1" t="s">
        <v>38</v>
      </c>
      <c r="M44" s="1" t="s">
        <v>274</v>
      </c>
      <c r="N44" s="1" t="s">
        <v>266</v>
      </c>
      <c r="O44" s="1" t="s">
        <v>399</v>
      </c>
      <c r="P44" s="1" t="s">
        <v>401</v>
      </c>
      <c r="Q44" s="1" t="s">
        <v>401</v>
      </c>
    </row>
    <row r="45">
      <c r="A45" s="1" t="s">
        <v>376</v>
      </c>
      <c r="B45" s="1" t="s">
        <v>403</v>
      </c>
      <c r="C45" s="1" t="s">
        <v>64</v>
      </c>
      <c r="D45" s="1" t="s">
        <v>404</v>
      </c>
      <c r="E45" s="1" t="s">
        <v>141</v>
      </c>
      <c r="F45" s="1" t="s">
        <v>127</v>
      </c>
      <c r="G45" s="1" t="s">
        <v>405</v>
      </c>
      <c r="H45" s="5">
        <v>1.0</v>
      </c>
      <c r="I45" s="5">
        <v>1.0</v>
      </c>
      <c r="J45" s="5">
        <v>1.0</v>
      </c>
      <c r="K45" s="1" t="s">
        <v>407</v>
      </c>
      <c r="L45" s="1" t="s">
        <v>38</v>
      </c>
      <c r="M45" s="1" t="s">
        <v>408</v>
      </c>
      <c r="N45" s="1" t="s">
        <v>409</v>
      </c>
      <c r="O45" s="1" t="s">
        <v>381</v>
      </c>
      <c r="P45" s="1" t="s">
        <v>401</v>
      </c>
      <c r="Q45" s="1" t="s">
        <v>401</v>
      </c>
    </row>
    <row r="46">
      <c r="A46" s="1" t="s">
        <v>410</v>
      </c>
      <c r="B46" s="1" t="s">
        <v>412</v>
      </c>
      <c r="C46" s="1" t="s">
        <v>44</v>
      </c>
      <c r="D46" s="1" t="s">
        <v>415</v>
      </c>
      <c r="E46" s="1" t="s">
        <v>416</v>
      </c>
      <c r="F46" s="1" t="s">
        <v>41</v>
      </c>
      <c r="G46" s="1" t="s">
        <v>417</v>
      </c>
      <c r="H46" s="5">
        <v>1.0</v>
      </c>
      <c r="I46" s="5">
        <v>1.0</v>
      </c>
      <c r="J46" s="5">
        <v>1.0</v>
      </c>
      <c r="K46" s="1" t="s">
        <v>418</v>
      </c>
      <c r="L46" s="1" t="s">
        <v>38</v>
      </c>
      <c r="M46" s="1" t="s">
        <v>64</v>
      </c>
      <c r="N46" s="1" t="s">
        <v>266</v>
      </c>
      <c r="O46" s="1" t="s">
        <v>399</v>
      </c>
      <c r="P46" s="1" t="s">
        <v>412</v>
      </c>
      <c r="Q46" s="1" t="s">
        <v>412</v>
      </c>
    </row>
    <row r="47">
      <c r="A47" s="1" t="s">
        <v>420</v>
      </c>
      <c r="B47" s="1" t="s">
        <v>421</v>
      </c>
      <c r="C47" s="1" t="s">
        <v>64</v>
      </c>
      <c r="D47" s="1" t="s">
        <v>423</v>
      </c>
      <c r="E47" s="1" t="s">
        <v>424</v>
      </c>
      <c r="F47" s="1" t="s">
        <v>126</v>
      </c>
      <c r="G47" s="1" t="s">
        <v>396</v>
      </c>
      <c r="H47" s="5">
        <v>1.0</v>
      </c>
      <c r="I47" s="5">
        <v>1.0</v>
      </c>
      <c r="J47" s="5">
        <v>1.0</v>
      </c>
      <c r="K47" s="1" t="s">
        <v>425</v>
      </c>
      <c r="L47" s="1" t="s">
        <v>38</v>
      </c>
      <c r="M47" s="1" t="s">
        <v>274</v>
      </c>
      <c r="N47" s="1" t="s">
        <v>266</v>
      </c>
      <c r="P47" s="1" t="s">
        <v>426</v>
      </c>
      <c r="Q47" s="1" t="s">
        <v>426</v>
      </c>
    </row>
    <row r="48">
      <c r="A48" s="1" t="s">
        <v>427</v>
      </c>
      <c r="B48" s="1" t="s">
        <v>302</v>
      </c>
      <c r="C48" s="1" t="s">
        <v>64</v>
      </c>
      <c r="D48" s="1" t="s">
        <v>428</v>
      </c>
      <c r="E48" s="1" t="s">
        <v>141</v>
      </c>
      <c r="F48" s="1" t="s">
        <v>126</v>
      </c>
      <c r="G48" s="1" t="s">
        <v>405</v>
      </c>
      <c r="H48" s="5">
        <v>1.0</v>
      </c>
      <c r="I48" s="5">
        <v>1.0</v>
      </c>
      <c r="J48" s="5">
        <v>1.0</v>
      </c>
      <c r="K48" s="1" t="s">
        <v>430</v>
      </c>
      <c r="L48" s="1" t="s">
        <v>38</v>
      </c>
      <c r="M48" s="1" t="s">
        <v>274</v>
      </c>
      <c r="N48" s="1" t="s">
        <v>266</v>
      </c>
      <c r="P48" s="1" t="s">
        <v>345</v>
      </c>
      <c r="Q48" s="1" t="s">
        <v>346</v>
      </c>
    </row>
    <row r="49">
      <c r="A49" s="1" t="s">
        <v>432</v>
      </c>
      <c r="B49" s="1" t="s">
        <v>433</v>
      </c>
      <c r="C49" s="1" t="s">
        <v>64</v>
      </c>
      <c r="D49" s="1" t="s">
        <v>415</v>
      </c>
      <c r="E49" s="1" t="s">
        <v>416</v>
      </c>
      <c r="F49" s="1" t="s">
        <v>25</v>
      </c>
      <c r="G49" s="1" t="s">
        <v>434</v>
      </c>
      <c r="H49" s="5">
        <v>1.0</v>
      </c>
      <c r="I49" s="5">
        <v>3.0</v>
      </c>
      <c r="J49" s="5">
        <v>3.0</v>
      </c>
      <c r="K49" s="1" t="s">
        <v>436</v>
      </c>
      <c r="L49" s="1" t="s">
        <v>38</v>
      </c>
      <c r="M49" s="1" t="s">
        <v>274</v>
      </c>
      <c r="N49" s="1" t="s">
        <v>266</v>
      </c>
      <c r="O49" s="1" t="s">
        <v>437</v>
      </c>
      <c r="P49" s="1" t="s">
        <v>345</v>
      </c>
      <c r="Q49" s="1" t="s">
        <v>346</v>
      </c>
    </row>
    <row r="50">
      <c r="A50" s="1" t="s">
        <v>439</v>
      </c>
      <c r="B50" s="1" t="s">
        <v>440</v>
      </c>
      <c r="C50" s="1" t="s">
        <v>64</v>
      </c>
      <c r="D50" s="1" t="s">
        <v>415</v>
      </c>
      <c r="E50" s="1" t="s">
        <v>416</v>
      </c>
      <c r="F50" s="1" t="s">
        <v>25</v>
      </c>
      <c r="G50" s="1" t="s">
        <v>405</v>
      </c>
      <c r="H50" s="5">
        <v>1.0</v>
      </c>
      <c r="I50" s="5">
        <v>1.0</v>
      </c>
      <c r="J50" s="5">
        <v>1.0</v>
      </c>
      <c r="K50" s="1" t="s">
        <v>442</v>
      </c>
      <c r="L50" s="1" t="s">
        <v>38</v>
      </c>
      <c r="M50" s="1" t="s">
        <v>274</v>
      </c>
      <c r="N50" s="1" t="s">
        <v>266</v>
      </c>
      <c r="O50" s="1" t="s">
        <v>443</v>
      </c>
      <c r="P50" s="1" t="s">
        <v>444</v>
      </c>
      <c r="Q50" s="1" t="s">
        <v>445</v>
      </c>
    </row>
    <row r="51">
      <c r="A51" s="1" t="s">
        <v>447</v>
      </c>
      <c r="B51" s="1" t="s">
        <v>448</v>
      </c>
      <c r="C51" s="1" t="s">
        <v>23</v>
      </c>
      <c r="D51" s="1" t="s">
        <v>369</v>
      </c>
      <c r="E51" s="1" t="s">
        <v>263</v>
      </c>
      <c r="F51" s="1" t="s">
        <v>41</v>
      </c>
      <c r="G51" s="1" t="s">
        <v>417</v>
      </c>
      <c r="H51" s="5">
        <v>1.0</v>
      </c>
      <c r="I51" s="5">
        <v>1.0</v>
      </c>
      <c r="J51" s="5">
        <v>1.0</v>
      </c>
      <c r="K51" s="1" t="s">
        <v>451</v>
      </c>
      <c r="L51" s="1" t="s">
        <v>38</v>
      </c>
      <c r="M51" s="1" t="s">
        <v>274</v>
      </c>
      <c r="N51" s="1" t="s">
        <v>266</v>
      </c>
      <c r="P51" s="1" t="s">
        <v>345</v>
      </c>
      <c r="Q51" s="1" t="s">
        <v>452</v>
      </c>
    </row>
    <row r="52">
      <c r="A52" s="1" t="s">
        <v>453</v>
      </c>
      <c r="B52" s="1" t="s">
        <v>454</v>
      </c>
      <c r="C52" s="1" t="s">
        <v>23</v>
      </c>
      <c r="D52" s="1" t="s">
        <v>457</v>
      </c>
      <c r="E52" s="1" t="s">
        <v>68</v>
      </c>
      <c r="F52" s="1" t="s">
        <v>25</v>
      </c>
      <c r="G52" s="1" t="s">
        <v>386</v>
      </c>
      <c r="H52" s="5">
        <v>1.0</v>
      </c>
      <c r="I52" s="5">
        <v>2.0</v>
      </c>
      <c r="J52" s="5">
        <v>2.0</v>
      </c>
      <c r="K52" s="1" t="s">
        <v>459</v>
      </c>
      <c r="L52" s="1" t="s">
        <v>38</v>
      </c>
      <c r="M52" s="1" t="s">
        <v>274</v>
      </c>
      <c r="N52" s="1" t="s">
        <v>266</v>
      </c>
      <c r="O52" s="1" t="s">
        <v>460</v>
      </c>
      <c r="P52" s="1" t="s">
        <v>345</v>
      </c>
      <c r="Q52" s="1" t="s">
        <v>452</v>
      </c>
    </row>
    <row r="53">
      <c r="A53" s="1" t="s">
        <v>461</v>
      </c>
      <c r="B53" s="1" t="s">
        <v>462</v>
      </c>
      <c r="C53" s="1" t="s">
        <v>64</v>
      </c>
      <c r="D53" s="1" t="s">
        <v>408</v>
      </c>
      <c r="E53" s="1" t="s">
        <v>35</v>
      </c>
      <c r="F53" s="1" t="s">
        <v>41</v>
      </c>
      <c r="G53" s="1" t="s">
        <v>293</v>
      </c>
      <c r="H53" s="5">
        <v>1.0</v>
      </c>
      <c r="I53" s="5">
        <v>1.0</v>
      </c>
      <c r="J53" s="5">
        <v>1.0</v>
      </c>
      <c r="K53" s="1" t="s">
        <v>465</v>
      </c>
      <c r="L53" s="1" t="s">
        <v>38</v>
      </c>
      <c r="M53" s="1" t="s">
        <v>274</v>
      </c>
      <c r="N53" s="1" t="s">
        <v>266</v>
      </c>
      <c r="O53" s="1" t="s">
        <v>399</v>
      </c>
      <c r="P53" s="1" t="s">
        <v>467</v>
      </c>
      <c r="Q53" s="1" t="s">
        <v>468</v>
      </c>
    </row>
    <row r="54">
      <c r="A54" s="1" t="s">
        <v>469</v>
      </c>
      <c r="B54" s="1" t="s">
        <v>471</v>
      </c>
      <c r="C54" s="1" t="s">
        <v>23</v>
      </c>
      <c r="D54" s="1" t="s">
        <v>473</v>
      </c>
      <c r="E54" s="1" t="s">
        <v>223</v>
      </c>
      <c r="F54" s="1" t="s">
        <v>41</v>
      </c>
      <c r="G54" s="1" t="s">
        <v>293</v>
      </c>
      <c r="H54" s="5">
        <v>1.0</v>
      </c>
      <c r="I54" s="5">
        <v>1.0</v>
      </c>
      <c r="J54" s="5">
        <v>1.0</v>
      </c>
      <c r="K54" s="1" t="s">
        <v>475</v>
      </c>
      <c r="L54" s="1" t="s">
        <v>38</v>
      </c>
      <c r="M54" s="1" t="s">
        <v>23</v>
      </c>
      <c r="N54" s="1" t="s">
        <v>266</v>
      </c>
      <c r="O54" s="1" t="s">
        <v>399</v>
      </c>
      <c r="P54" s="1" t="s">
        <v>476</v>
      </c>
      <c r="Q54" s="1" t="s">
        <v>476</v>
      </c>
    </row>
    <row r="55">
      <c r="A55" s="1" t="s">
        <v>478</v>
      </c>
      <c r="B55" s="1" t="s">
        <v>479</v>
      </c>
      <c r="C55" s="1" t="s">
        <v>23</v>
      </c>
      <c r="D55" s="1" t="s">
        <v>481</v>
      </c>
      <c r="E55" s="1" t="s">
        <v>32</v>
      </c>
      <c r="F55" s="1" t="s">
        <v>41</v>
      </c>
      <c r="G55" s="1" t="s">
        <v>293</v>
      </c>
      <c r="H55" s="5">
        <v>1.0</v>
      </c>
      <c r="I55" s="5">
        <v>1.0</v>
      </c>
      <c r="J55" s="5">
        <v>1.0</v>
      </c>
      <c r="K55" s="1" t="s">
        <v>482</v>
      </c>
      <c r="L55" s="1" t="s">
        <v>38</v>
      </c>
      <c r="M55" s="1" t="s">
        <v>23</v>
      </c>
      <c r="N55" s="1" t="s">
        <v>266</v>
      </c>
      <c r="P55" s="1" t="s">
        <v>484</v>
      </c>
      <c r="Q55" s="1" t="s">
        <v>484</v>
      </c>
    </row>
    <row r="56">
      <c r="A56" s="1" t="s">
        <v>485</v>
      </c>
      <c r="B56" s="1" t="s">
        <v>486</v>
      </c>
      <c r="C56" s="1" t="s">
        <v>64</v>
      </c>
      <c r="D56" s="1" t="s">
        <v>488</v>
      </c>
      <c r="E56" s="1" t="s">
        <v>53</v>
      </c>
      <c r="F56" s="1" t="s">
        <v>25</v>
      </c>
      <c r="G56" s="1" t="s">
        <v>405</v>
      </c>
      <c r="H56" s="5">
        <v>1.0</v>
      </c>
      <c r="I56" s="5">
        <v>3.0</v>
      </c>
      <c r="J56" s="5">
        <v>3.0</v>
      </c>
      <c r="K56" s="1" t="s">
        <v>489</v>
      </c>
      <c r="L56" s="1" t="s">
        <v>38</v>
      </c>
      <c r="M56" s="1" t="s">
        <v>274</v>
      </c>
      <c r="N56" s="1" t="s">
        <v>266</v>
      </c>
      <c r="O56" s="1" t="s">
        <v>492</v>
      </c>
      <c r="P56" s="1" t="s">
        <v>493</v>
      </c>
      <c r="Q56" s="1" t="s">
        <v>452</v>
      </c>
    </row>
    <row r="57">
      <c r="A57" s="1" t="s">
        <v>494</v>
      </c>
      <c r="B57" s="1" t="s">
        <v>486</v>
      </c>
      <c r="C57" s="1" t="s">
        <v>64</v>
      </c>
      <c r="D57" s="1" t="s">
        <v>488</v>
      </c>
      <c r="E57" s="1" t="s">
        <v>53</v>
      </c>
      <c r="F57" s="1" t="s">
        <v>126</v>
      </c>
      <c r="G57" s="1" t="s">
        <v>405</v>
      </c>
      <c r="H57" s="5">
        <v>1.0</v>
      </c>
      <c r="I57" s="5">
        <v>3.0</v>
      </c>
      <c r="J57" s="5">
        <v>3.0</v>
      </c>
      <c r="K57" s="1" t="s">
        <v>496</v>
      </c>
      <c r="L57" s="1" t="s">
        <v>38</v>
      </c>
      <c r="M57" s="1" t="s">
        <v>274</v>
      </c>
      <c r="N57" s="1" t="s">
        <v>266</v>
      </c>
      <c r="O57" s="1" t="s">
        <v>492</v>
      </c>
      <c r="P57" s="1" t="s">
        <v>493</v>
      </c>
      <c r="Q57" s="1" t="s">
        <v>498</v>
      </c>
    </row>
    <row r="58">
      <c r="A58" s="1" t="s">
        <v>499</v>
      </c>
      <c r="B58" s="1" t="s">
        <v>500</v>
      </c>
      <c r="C58" s="1" t="s">
        <v>64</v>
      </c>
      <c r="D58" s="1" t="s">
        <v>501</v>
      </c>
      <c r="E58" s="1" t="s">
        <v>53</v>
      </c>
      <c r="F58" s="1" t="s">
        <v>25</v>
      </c>
      <c r="G58" s="1" t="s">
        <v>405</v>
      </c>
      <c r="H58" s="5">
        <v>1.0</v>
      </c>
      <c r="I58" s="5">
        <v>3.0</v>
      </c>
      <c r="J58" s="5">
        <v>3.0</v>
      </c>
      <c r="K58" s="1" t="s">
        <v>489</v>
      </c>
      <c r="L58" s="1" t="s">
        <v>38</v>
      </c>
      <c r="M58" s="1" t="s">
        <v>274</v>
      </c>
      <c r="N58" s="1" t="s">
        <v>266</v>
      </c>
      <c r="O58" s="1" t="s">
        <v>492</v>
      </c>
      <c r="P58" s="1" t="s">
        <v>493</v>
      </c>
      <c r="Q58" s="1" t="s">
        <v>498</v>
      </c>
    </row>
    <row r="59">
      <c r="A59" s="1" t="s">
        <v>504</v>
      </c>
      <c r="B59" s="1" t="s">
        <v>500</v>
      </c>
      <c r="C59" s="1" t="s">
        <v>64</v>
      </c>
      <c r="D59" s="1" t="s">
        <v>501</v>
      </c>
      <c r="E59" s="1" t="s">
        <v>53</v>
      </c>
      <c r="F59" s="1" t="s">
        <v>126</v>
      </c>
      <c r="G59" s="1" t="s">
        <v>405</v>
      </c>
      <c r="H59" s="5">
        <v>1.0</v>
      </c>
      <c r="I59" s="5">
        <v>3.0</v>
      </c>
      <c r="J59" s="5">
        <v>3.0</v>
      </c>
      <c r="K59" s="1" t="s">
        <v>496</v>
      </c>
      <c r="L59" s="1" t="s">
        <v>38</v>
      </c>
      <c r="M59" s="1" t="s">
        <v>274</v>
      </c>
      <c r="N59" s="1" t="s">
        <v>266</v>
      </c>
      <c r="O59" s="1" t="s">
        <v>492</v>
      </c>
      <c r="P59" s="1" t="s">
        <v>493</v>
      </c>
      <c r="Q59" s="1" t="s">
        <v>508</v>
      </c>
    </row>
    <row r="60">
      <c r="A60" s="1" t="s">
        <v>509</v>
      </c>
      <c r="B60" s="1" t="s">
        <v>510</v>
      </c>
      <c r="C60" s="1" t="s">
        <v>64</v>
      </c>
      <c r="D60" s="1" t="s">
        <v>511</v>
      </c>
      <c r="E60" s="1" t="s">
        <v>263</v>
      </c>
      <c r="F60" s="1" t="s">
        <v>127</v>
      </c>
      <c r="G60" s="1" t="s">
        <v>405</v>
      </c>
      <c r="H60" s="5">
        <v>1.0</v>
      </c>
      <c r="I60" s="5">
        <v>3.0</v>
      </c>
      <c r="J60" s="5">
        <v>3.0</v>
      </c>
      <c r="K60" s="1" t="s">
        <v>442</v>
      </c>
      <c r="L60" s="1" t="s">
        <v>38</v>
      </c>
      <c r="M60" s="1" t="s">
        <v>274</v>
      </c>
      <c r="N60" s="1" t="s">
        <v>266</v>
      </c>
      <c r="P60" s="1" t="s">
        <v>513</v>
      </c>
      <c r="Q60" s="1" t="s">
        <v>514</v>
      </c>
    </row>
    <row r="61">
      <c r="A61" s="1" t="s">
        <v>516</v>
      </c>
      <c r="B61" s="1" t="s">
        <v>517</v>
      </c>
      <c r="C61" s="1" t="s">
        <v>64</v>
      </c>
      <c r="D61" s="1" t="s">
        <v>193</v>
      </c>
      <c r="E61" s="1" t="s">
        <v>35</v>
      </c>
      <c r="F61" s="1" t="s">
        <v>41</v>
      </c>
      <c r="G61" s="1" t="s">
        <v>405</v>
      </c>
      <c r="H61" s="5">
        <v>1.0</v>
      </c>
      <c r="I61" s="5">
        <v>3.0</v>
      </c>
      <c r="J61" s="5">
        <v>3.0</v>
      </c>
      <c r="K61" s="1" t="s">
        <v>519</v>
      </c>
      <c r="L61" s="1" t="s">
        <v>38</v>
      </c>
      <c r="M61" s="1" t="s">
        <v>274</v>
      </c>
      <c r="N61" s="1" t="s">
        <v>266</v>
      </c>
      <c r="O61" s="1" t="s">
        <v>520</v>
      </c>
      <c r="P61" s="1" t="s">
        <v>521</v>
      </c>
      <c r="Q61" s="1" t="s">
        <v>522</v>
      </c>
    </row>
    <row r="62">
      <c r="A62" s="1" t="s">
        <v>524</v>
      </c>
      <c r="B62" s="1" t="s">
        <v>525</v>
      </c>
      <c r="C62" s="1" t="s">
        <v>64</v>
      </c>
      <c r="D62" s="1" t="s">
        <v>526</v>
      </c>
      <c r="E62" s="1" t="s">
        <v>35</v>
      </c>
      <c r="F62" s="1" t="s">
        <v>25</v>
      </c>
      <c r="G62" s="1" t="s">
        <v>405</v>
      </c>
      <c r="H62" s="5">
        <v>1.0</v>
      </c>
      <c r="I62" s="5">
        <v>3.0</v>
      </c>
      <c r="J62" s="5">
        <v>3.0</v>
      </c>
      <c r="K62" s="1" t="s">
        <v>529</v>
      </c>
      <c r="L62" s="1" t="s">
        <v>38</v>
      </c>
      <c r="M62" s="1" t="s">
        <v>274</v>
      </c>
      <c r="N62" s="1" t="s">
        <v>266</v>
      </c>
      <c r="O62" s="1" t="s">
        <v>530</v>
      </c>
      <c r="P62" s="1" t="s">
        <v>531</v>
      </c>
      <c r="Q62" s="1" t="s">
        <v>521</v>
      </c>
    </row>
    <row r="63">
      <c r="A63" s="1" t="s">
        <v>533</v>
      </c>
      <c r="B63" s="1" t="s">
        <v>534</v>
      </c>
      <c r="C63" s="1" t="s">
        <v>64</v>
      </c>
      <c r="D63" s="1" t="s">
        <v>535</v>
      </c>
      <c r="E63" s="1" t="s">
        <v>183</v>
      </c>
      <c r="F63" s="1" t="s">
        <v>126</v>
      </c>
      <c r="G63" s="1" t="s">
        <v>405</v>
      </c>
      <c r="H63" s="5">
        <v>1.0</v>
      </c>
      <c r="I63" s="5">
        <v>3.0</v>
      </c>
      <c r="J63" s="5">
        <v>3.0</v>
      </c>
      <c r="K63" s="1" t="s">
        <v>538</v>
      </c>
      <c r="L63" s="1" t="s">
        <v>38</v>
      </c>
      <c r="M63" s="1" t="s">
        <v>274</v>
      </c>
      <c r="N63" s="1" t="s">
        <v>266</v>
      </c>
      <c r="O63" s="1" t="s">
        <v>539</v>
      </c>
      <c r="P63" s="1" t="s">
        <v>444</v>
      </c>
      <c r="Q63" s="1" t="s">
        <v>445</v>
      </c>
    </row>
    <row r="64">
      <c r="A64" s="1" t="s">
        <v>541</v>
      </c>
      <c r="B64" s="1" t="s">
        <v>542</v>
      </c>
      <c r="C64" s="1" t="s">
        <v>64</v>
      </c>
      <c r="D64" s="1" t="s">
        <v>543</v>
      </c>
      <c r="E64" s="1" t="s">
        <v>183</v>
      </c>
      <c r="F64" s="1" t="s">
        <v>25</v>
      </c>
      <c r="G64" s="1" t="s">
        <v>405</v>
      </c>
      <c r="H64" s="5">
        <v>1.0</v>
      </c>
      <c r="I64" s="5">
        <v>3.0</v>
      </c>
      <c r="J64" s="5">
        <v>3.0</v>
      </c>
      <c r="K64" s="1" t="s">
        <v>545</v>
      </c>
      <c r="L64" s="1" t="s">
        <v>38</v>
      </c>
      <c r="M64" s="1" t="s">
        <v>274</v>
      </c>
      <c r="N64" s="1" t="s">
        <v>266</v>
      </c>
      <c r="O64" s="1" t="s">
        <v>546</v>
      </c>
      <c r="P64" s="1" t="s">
        <v>547</v>
      </c>
      <c r="Q64" s="1" t="s">
        <v>547</v>
      </c>
    </row>
    <row r="65">
      <c r="A65" s="1" t="s">
        <v>549</v>
      </c>
      <c r="B65" s="1" t="s">
        <v>550</v>
      </c>
      <c r="C65" s="1" t="s">
        <v>64</v>
      </c>
      <c r="D65" s="1" t="s">
        <v>551</v>
      </c>
      <c r="E65" s="1" t="s">
        <v>183</v>
      </c>
      <c r="F65" s="1" t="s">
        <v>41</v>
      </c>
      <c r="G65" s="1" t="s">
        <v>405</v>
      </c>
      <c r="H65" s="5">
        <v>1.0</v>
      </c>
      <c r="I65" s="5">
        <v>3.0</v>
      </c>
      <c r="J65" s="5">
        <v>3.0</v>
      </c>
      <c r="K65" s="1" t="s">
        <v>545</v>
      </c>
      <c r="L65" s="1" t="s">
        <v>38</v>
      </c>
      <c r="M65" s="1" t="s">
        <v>274</v>
      </c>
      <c r="N65" s="1" t="s">
        <v>266</v>
      </c>
      <c r="O65" s="1" t="s">
        <v>553</v>
      </c>
      <c r="P65" s="1" t="s">
        <v>554</v>
      </c>
      <c r="Q65" s="1" t="s">
        <v>554</v>
      </c>
    </row>
    <row r="66">
      <c r="A66" s="1" t="s">
        <v>556</v>
      </c>
      <c r="B66" s="1" t="s">
        <v>557</v>
      </c>
      <c r="C66" s="1" t="s">
        <v>64</v>
      </c>
      <c r="D66" s="1" t="s">
        <v>559</v>
      </c>
      <c r="E66" s="1" t="s">
        <v>228</v>
      </c>
      <c r="F66" s="1" t="s">
        <v>25</v>
      </c>
      <c r="G66" s="1" t="s">
        <v>405</v>
      </c>
      <c r="H66" s="5">
        <v>1.0</v>
      </c>
      <c r="I66" s="5">
        <v>3.0</v>
      </c>
      <c r="J66" s="5">
        <v>3.0</v>
      </c>
      <c r="K66" s="1" t="s">
        <v>561</v>
      </c>
      <c r="L66" s="1" t="s">
        <v>38</v>
      </c>
      <c r="M66" s="1" t="s">
        <v>274</v>
      </c>
      <c r="N66" s="1" t="s">
        <v>266</v>
      </c>
      <c r="O66" s="1" t="s">
        <v>562</v>
      </c>
      <c r="P66" s="1" t="s">
        <v>444</v>
      </c>
      <c r="Q66" s="1" t="s">
        <v>563</v>
      </c>
    </row>
    <row r="67">
      <c r="A67" s="1" t="s">
        <v>564</v>
      </c>
      <c r="B67" s="1" t="s">
        <v>557</v>
      </c>
      <c r="C67" s="1" t="s">
        <v>64</v>
      </c>
      <c r="D67" s="1" t="s">
        <v>559</v>
      </c>
      <c r="E67" s="1" t="s">
        <v>228</v>
      </c>
      <c r="F67" s="1" t="s">
        <v>126</v>
      </c>
      <c r="G67" s="1" t="s">
        <v>405</v>
      </c>
      <c r="H67" s="5">
        <v>1.0</v>
      </c>
      <c r="I67" s="5">
        <v>3.0</v>
      </c>
      <c r="J67" s="5">
        <v>3.0</v>
      </c>
      <c r="K67" s="1" t="s">
        <v>561</v>
      </c>
      <c r="L67" s="1" t="s">
        <v>38</v>
      </c>
      <c r="M67" s="1" t="s">
        <v>274</v>
      </c>
      <c r="N67" s="1" t="s">
        <v>266</v>
      </c>
      <c r="O67" s="1" t="s">
        <v>568</v>
      </c>
      <c r="P67" s="1" t="s">
        <v>444</v>
      </c>
      <c r="Q67" s="1" t="s">
        <v>563</v>
      </c>
    </row>
    <row r="68">
      <c r="A68" s="1" t="s">
        <v>569</v>
      </c>
      <c r="B68" s="1" t="s">
        <v>570</v>
      </c>
      <c r="C68" s="1" t="s">
        <v>64</v>
      </c>
      <c r="D68" s="1" t="s">
        <v>572</v>
      </c>
      <c r="E68" s="1" t="s">
        <v>68</v>
      </c>
      <c r="F68" s="1" t="s">
        <v>111</v>
      </c>
      <c r="G68" s="1" t="s">
        <v>405</v>
      </c>
      <c r="H68" s="5">
        <v>1.0</v>
      </c>
      <c r="I68" s="5">
        <v>3.0</v>
      </c>
      <c r="J68" s="5">
        <v>3.0</v>
      </c>
      <c r="K68" s="1" t="s">
        <v>573</v>
      </c>
      <c r="L68" s="1" t="s">
        <v>38</v>
      </c>
      <c r="M68" s="1" t="s">
        <v>274</v>
      </c>
      <c r="N68" s="1" t="s">
        <v>266</v>
      </c>
      <c r="O68" s="1" t="s">
        <v>576</v>
      </c>
      <c r="P68" s="1" t="s">
        <v>577</v>
      </c>
      <c r="Q68" s="1" t="s">
        <v>577</v>
      </c>
    </row>
    <row r="69">
      <c r="A69" s="1" t="s">
        <v>578</v>
      </c>
      <c r="B69" s="1" t="s">
        <v>580</v>
      </c>
      <c r="C69" s="1" t="s">
        <v>64</v>
      </c>
      <c r="D69" s="1" t="s">
        <v>581</v>
      </c>
      <c r="E69" s="1" t="s">
        <v>68</v>
      </c>
      <c r="F69" s="1" t="s">
        <v>25</v>
      </c>
      <c r="G69" s="1" t="s">
        <v>405</v>
      </c>
      <c r="H69" s="5">
        <v>1.0</v>
      </c>
      <c r="I69" s="5">
        <v>3.0</v>
      </c>
      <c r="J69" s="5">
        <v>3.0</v>
      </c>
      <c r="K69" s="1" t="s">
        <v>583</v>
      </c>
      <c r="L69" s="1" t="s">
        <v>38</v>
      </c>
      <c r="M69" s="1" t="s">
        <v>274</v>
      </c>
      <c r="N69" s="1" t="s">
        <v>266</v>
      </c>
      <c r="O69" s="1" t="s">
        <v>576</v>
      </c>
      <c r="P69" s="1" t="s">
        <v>585</v>
      </c>
      <c r="Q69" s="1" t="s">
        <v>585</v>
      </c>
    </row>
    <row r="70">
      <c r="A70" s="1" t="s">
        <v>586</v>
      </c>
      <c r="B70" s="1" t="s">
        <v>588</v>
      </c>
      <c r="C70" s="1" t="s">
        <v>64</v>
      </c>
      <c r="D70" s="1" t="s">
        <v>589</v>
      </c>
      <c r="E70" s="1" t="s">
        <v>35</v>
      </c>
      <c r="F70" s="1" t="s">
        <v>25</v>
      </c>
      <c r="G70" s="1" t="s">
        <v>405</v>
      </c>
      <c r="H70" s="5">
        <v>1.0</v>
      </c>
      <c r="I70" s="5">
        <v>3.0</v>
      </c>
      <c r="J70" s="5">
        <v>3.0</v>
      </c>
      <c r="K70" s="1" t="s">
        <v>591</v>
      </c>
      <c r="L70" s="1" t="s">
        <v>38</v>
      </c>
      <c r="M70" s="1" t="s">
        <v>274</v>
      </c>
      <c r="N70" s="1" t="s">
        <v>266</v>
      </c>
      <c r="O70" s="1" t="s">
        <v>399</v>
      </c>
      <c r="P70" s="1" t="s">
        <v>592</v>
      </c>
      <c r="Q70" s="1" t="s">
        <v>593</v>
      </c>
    </row>
    <row r="71">
      <c r="A71" s="1" t="s">
        <v>595</v>
      </c>
      <c r="B71" s="1" t="s">
        <v>592</v>
      </c>
      <c r="C71" s="1" t="s">
        <v>64</v>
      </c>
      <c r="D71" s="1" t="s">
        <v>589</v>
      </c>
      <c r="E71" s="1" t="s">
        <v>35</v>
      </c>
      <c r="F71" s="1" t="s">
        <v>41</v>
      </c>
      <c r="G71" s="1" t="s">
        <v>405</v>
      </c>
      <c r="H71" s="5">
        <v>1.0</v>
      </c>
      <c r="I71" s="5">
        <v>3.0</v>
      </c>
      <c r="J71" s="5">
        <v>3.0</v>
      </c>
      <c r="K71" s="1" t="s">
        <v>597</v>
      </c>
      <c r="L71" s="1" t="s">
        <v>38</v>
      </c>
      <c r="M71" s="1" t="s">
        <v>274</v>
      </c>
      <c r="N71" s="1" t="s">
        <v>266</v>
      </c>
      <c r="O71" s="1" t="s">
        <v>399</v>
      </c>
      <c r="P71" s="1" t="s">
        <v>592</v>
      </c>
      <c r="Q71" s="1" t="s">
        <v>593</v>
      </c>
    </row>
    <row r="72">
      <c r="A72" s="1" t="s">
        <v>599</v>
      </c>
      <c r="B72" s="1" t="s">
        <v>600</v>
      </c>
      <c r="C72" s="1" t="s">
        <v>64</v>
      </c>
      <c r="D72" s="1" t="s">
        <v>602</v>
      </c>
      <c r="E72" s="1" t="s">
        <v>68</v>
      </c>
      <c r="F72" s="1" t="s">
        <v>25</v>
      </c>
      <c r="G72" s="1" t="s">
        <v>417</v>
      </c>
      <c r="H72" s="5">
        <v>1.0</v>
      </c>
      <c r="I72" s="5">
        <v>1.0</v>
      </c>
      <c r="J72" s="5">
        <v>1.0</v>
      </c>
      <c r="K72" s="1" t="s">
        <v>603</v>
      </c>
      <c r="L72" s="1" t="s">
        <v>604</v>
      </c>
      <c r="M72" s="8"/>
    </row>
    <row r="73">
      <c r="A73" s="1" t="s">
        <v>606</v>
      </c>
      <c r="B73" s="1" t="s">
        <v>607</v>
      </c>
      <c r="C73" s="1" t="s">
        <v>64</v>
      </c>
      <c r="D73" s="1" t="s">
        <v>608</v>
      </c>
      <c r="E73" s="1" t="s">
        <v>35</v>
      </c>
      <c r="F73" s="1" t="s">
        <v>25</v>
      </c>
      <c r="G73" s="1" t="s">
        <v>611</v>
      </c>
      <c r="H73" s="5">
        <v>1.0</v>
      </c>
      <c r="I73" s="5">
        <v>1.0</v>
      </c>
      <c r="J73" s="5">
        <v>1.0</v>
      </c>
      <c r="K73" s="1" t="s">
        <v>612</v>
      </c>
      <c r="L73" s="1" t="s">
        <v>38</v>
      </c>
      <c r="M73" s="1" t="s">
        <v>274</v>
      </c>
      <c r="N73" s="1" t="s">
        <v>266</v>
      </c>
      <c r="O73" s="1" t="s">
        <v>399</v>
      </c>
      <c r="P73" s="1" t="s">
        <v>467</v>
      </c>
      <c r="Q73" s="1" t="s">
        <v>468</v>
      </c>
    </row>
    <row r="74">
      <c r="A74" s="1" t="s">
        <v>615</v>
      </c>
      <c r="B74" s="1" t="s">
        <v>616</v>
      </c>
      <c r="C74" s="1" t="s">
        <v>64</v>
      </c>
      <c r="D74" s="1" t="s">
        <v>618</v>
      </c>
      <c r="E74" s="1" t="s">
        <v>35</v>
      </c>
      <c r="F74" s="1" t="s">
        <v>41</v>
      </c>
      <c r="G74" s="1" t="s">
        <v>293</v>
      </c>
      <c r="H74" s="5">
        <v>1.0</v>
      </c>
      <c r="I74" s="5">
        <v>1.0</v>
      </c>
      <c r="J74" s="5">
        <v>1.0</v>
      </c>
      <c r="K74" s="1" t="s">
        <v>620</v>
      </c>
      <c r="L74" s="1" t="s">
        <v>604</v>
      </c>
      <c r="M74" s="8"/>
    </row>
    <row r="75">
      <c r="A75" s="1" t="s">
        <v>622</v>
      </c>
      <c r="B75" s="1" t="s">
        <v>623</v>
      </c>
      <c r="C75" s="1" t="s">
        <v>64</v>
      </c>
      <c r="D75" s="1" t="s">
        <v>624</v>
      </c>
      <c r="E75" s="1" t="s">
        <v>68</v>
      </c>
      <c r="F75" s="1" t="s">
        <v>25</v>
      </c>
      <c r="G75" s="1" t="s">
        <v>434</v>
      </c>
      <c r="H75" s="5">
        <v>1.0</v>
      </c>
      <c r="I75" s="5">
        <v>3.0</v>
      </c>
      <c r="J75" s="5">
        <v>3.0</v>
      </c>
      <c r="K75" s="1" t="s">
        <v>626</v>
      </c>
      <c r="L75" s="1" t="s">
        <v>38</v>
      </c>
      <c r="M75" s="1" t="s">
        <v>274</v>
      </c>
      <c r="N75" s="1" t="s">
        <v>266</v>
      </c>
      <c r="O75" s="1" t="s">
        <v>399</v>
      </c>
      <c r="P75" s="1" t="s">
        <v>627</v>
      </c>
      <c r="Q75" s="1" t="s">
        <v>627</v>
      </c>
    </row>
    <row r="76">
      <c r="A76" s="1" t="s">
        <v>628</v>
      </c>
      <c r="B76" s="1" t="s">
        <v>630</v>
      </c>
      <c r="C76" s="1" t="s">
        <v>30</v>
      </c>
      <c r="D76" s="1" t="s">
        <v>632</v>
      </c>
      <c r="E76" s="1" t="s">
        <v>53</v>
      </c>
      <c r="F76" s="1" t="s">
        <v>25</v>
      </c>
      <c r="G76" s="1" t="s">
        <v>293</v>
      </c>
      <c r="H76" s="5">
        <v>1.0</v>
      </c>
      <c r="I76" s="5">
        <v>1.0</v>
      </c>
      <c r="J76" s="5">
        <v>1.0</v>
      </c>
      <c r="K76" s="1" t="s">
        <v>633</v>
      </c>
      <c r="L76" s="1" t="s">
        <v>38</v>
      </c>
      <c r="M76" s="1" t="s">
        <v>30</v>
      </c>
      <c r="N76" s="1" t="s">
        <v>266</v>
      </c>
      <c r="P76" s="1" t="s">
        <v>635</v>
      </c>
      <c r="Q76" s="1" t="s">
        <v>635</v>
      </c>
    </row>
    <row r="77">
      <c r="A77" s="1" t="s">
        <v>636</v>
      </c>
      <c r="B77" s="1" t="s">
        <v>637</v>
      </c>
      <c r="C77" s="1" t="s">
        <v>64</v>
      </c>
      <c r="D77" s="1" t="s">
        <v>638</v>
      </c>
      <c r="E77" s="1" t="s">
        <v>210</v>
      </c>
      <c r="F77" s="1" t="s">
        <v>396</v>
      </c>
      <c r="G77" s="1" t="s">
        <v>396</v>
      </c>
      <c r="H77" s="5">
        <v>1.0</v>
      </c>
      <c r="I77" s="5">
        <v>1.0</v>
      </c>
      <c r="J77" s="5">
        <v>1.0</v>
      </c>
      <c r="K77" s="1" t="s">
        <v>640</v>
      </c>
      <c r="L77" s="1" t="s">
        <v>38</v>
      </c>
      <c r="M77" s="1" t="s">
        <v>274</v>
      </c>
      <c r="N77" s="1" t="s">
        <v>266</v>
      </c>
      <c r="O77" s="1" t="s">
        <v>642</v>
      </c>
      <c r="P77" s="1" t="s">
        <v>637</v>
      </c>
      <c r="Q77" s="1" t="s">
        <v>627</v>
      </c>
    </row>
    <row r="78">
      <c r="A78" s="1" t="s">
        <v>643</v>
      </c>
      <c r="B78" s="1" t="s">
        <v>637</v>
      </c>
      <c r="C78" s="1" t="s">
        <v>30</v>
      </c>
      <c r="D78" s="1" t="s">
        <v>645</v>
      </c>
      <c r="E78" s="1" t="s">
        <v>223</v>
      </c>
      <c r="F78" s="1" t="s">
        <v>41</v>
      </c>
      <c r="G78" s="1" t="s">
        <v>293</v>
      </c>
      <c r="H78" s="5">
        <v>1.0</v>
      </c>
      <c r="I78" s="5">
        <v>1.0</v>
      </c>
      <c r="J78" s="5">
        <v>1.0</v>
      </c>
      <c r="K78" s="1" t="s">
        <v>646</v>
      </c>
      <c r="L78" s="1" t="s">
        <v>647</v>
      </c>
      <c r="M78" s="1" t="s">
        <v>274</v>
      </c>
      <c r="P78" s="1" t="s">
        <v>467</v>
      </c>
    </row>
    <row r="79">
      <c r="A79" s="1" t="s">
        <v>650</v>
      </c>
      <c r="B79" s="1" t="s">
        <v>627</v>
      </c>
      <c r="C79" s="1" t="s">
        <v>30</v>
      </c>
      <c r="D79" s="1" t="s">
        <v>651</v>
      </c>
      <c r="E79" s="1" t="s">
        <v>35</v>
      </c>
      <c r="F79" s="1" t="s">
        <v>25</v>
      </c>
      <c r="G79" s="1" t="s">
        <v>293</v>
      </c>
      <c r="H79" s="5">
        <v>1.0</v>
      </c>
      <c r="I79" s="5">
        <v>1.0</v>
      </c>
      <c r="J79" s="5">
        <v>1.0</v>
      </c>
      <c r="K79" s="1" t="s">
        <v>633</v>
      </c>
      <c r="L79" s="1" t="s">
        <v>38</v>
      </c>
      <c r="M79" s="1" t="s">
        <v>274</v>
      </c>
      <c r="N79" s="1" t="s">
        <v>266</v>
      </c>
      <c r="O79" s="1" t="s">
        <v>399</v>
      </c>
      <c r="P79" s="1" t="s">
        <v>467</v>
      </c>
      <c r="Q79" s="1" t="s">
        <v>468</v>
      </c>
    </row>
    <row r="80">
      <c r="A80" s="1" t="s">
        <v>656</v>
      </c>
      <c r="B80" s="1" t="s">
        <v>657</v>
      </c>
      <c r="C80" s="1" t="s">
        <v>30</v>
      </c>
      <c r="D80" s="1" t="s">
        <v>659</v>
      </c>
      <c r="E80" s="1" t="s">
        <v>68</v>
      </c>
      <c r="F80" s="1" t="s">
        <v>25</v>
      </c>
      <c r="G80" s="1" t="s">
        <v>293</v>
      </c>
      <c r="H80" s="5">
        <v>1.0</v>
      </c>
      <c r="I80" s="5">
        <v>1.0</v>
      </c>
      <c r="J80" s="5">
        <v>1.0</v>
      </c>
      <c r="K80" s="1" t="s">
        <v>660</v>
      </c>
      <c r="L80" s="1" t="s">
        <v>38</v>
      </c>
      <c r="M80" s="1" t="s">
        <v>30</v>
      </c>
      <c r="N80" s="1" t="s">
        <v>266</v>
      </c>
      <c r="P80" s="1" t="s">
        <v>635</v>
      </c>
      <c r="Q80" s="1" t="s">
        <v>635</v>
      </c>
    </row>
    <row r="81">
      <c r="A81" s="1" t="s">
        <v>663</v>
      </c>
      <c r="B81" s="1" t="s">
        <v>664</v>
      </c>
      <c r="C81" s="1" t="s">
        <v>30</v>
      </c>
      <c r="D81" s="1" t="s">
        <v>121</v>
      </c>
      <c r="E81" s="1" t="s">
        <v>68</v>
      </c>
      <c r="F81" s="1" t="s">
        <v>25</v>
      </c>
      <c r="G81" s="1" t="s">
        <v>417</v>
      </c>
      <c r="H81" s="5">
        <v>1.0</v>
      </c>
      <c r="I81" s="5">
        <v>1.0</v>
      </c>
      <c r="J81" s="5">
        <v>1.0</v>
      </c>
      <c r="K81" s="1" t="s">
        <v>667</v>
      </c>
      <c r="L81" s="1" t="s">
        <v>38</v>
      </c>
      <c r="M81" s="1" t="s">
        <v>274</v>
      </c>
      <c r="N81" s="1" t="s">
        <v>266</v>
      </c>
      <c r="O81" s="1" t="s">
        <v>399</v>
      </c>
      <c r="P81" s="1" t="s">
        <v>467</v>
      </c>
      <c r="Q81" s="1" t="s">
        <v>468</v>
      </c>
    </row>
    <row r="82">
      <c r="A82" s="1" t="s">
        <v>670</v>
      </c>
      <c r="B82" s="1" t="s">
        <v>671</v>
      </c>
      <c r="C82" s="1" t="s">
        <v>30</v>
      </c>
      <c r="D82" s="1" t="s">
        <v>672</v>
      </c>
      <c r="E82" s="1" t="s">
        <v>68</v>
      </c>
      <c r="F82" s="1" t="s">
        <v>25</v>
      </c>
      <c r="G82" s="1" t="s">
        <v>293</v>
      </c>
      <c r="H82" s="5">
        <v>1.0</v>
      </c>
      <c r="I82" s="5">
        <v>1.0</v>
      </c>
      <c r="J82" s="5">
        <v>1.0</v>
      </c>
      <c r="K82" s="1" t="s">
        <v>660</v>
      </c>
      <c r="L82" s="1" t="s">
        <v>38</v>
      </c>
      <c r="M82" s="1" t="s">
        <v>30</v>
      </c>
      <c r="N82" s="1" t="s">
        <v>266</v>
      </c>
      <c r="P82" s="1" t="s">
        <v>635</v>
      </c>
      <c r="Q82" s="1" t="s">
        <v>635</v>
      </c>
    </row>
    <row r="83">
      <c r="A83" s="1" t="s">
        <v>676</v>
      </c>
      <c r="B83" s="1" t="s">
        <v>677</v>
      </c>
      <c r="C83" s="1" t="s">
        <v>30</v>
      </c>
      <c r="D83" s="1" t="s">
        <v>678</v>
      </c>
      <c r="E83" s="1" t="s">
        <v>68</v>
      </c>
      <c r="F83" s="1" t="s">
        <v>25</v>
      </c>
      <c r="G83" s="1" t="s">
        <v>293</v>
      </c>
      <c r="H83" s="5">
        <v>1.0</v>
      </c>
      <c r="I83" s="5">
        <v>1.0</v>
      </c>
      <c r="J83" s="5">
        <v>1.0</v>
      </c>
      <c r="K83" s="1" t="s">
        <v>660</v>
      </c>
      <c r="L83" s="1" t="s">
        <v>38</v>
      </c>
      <c r="M83" s="1" t="s">
        <v>30</v>
      </c>
      <c r="N83" s="1" t="s">
        <v>266</v>
      </c>
      <c r="P83" s="1" t="s">
        <v>635</v>
      </c>
      <c r="Q83" s="1" t="s">
        <v>635</v>
      </c>
    </row>
    <row r="84">
      <c r="A84" s="1" t="s">
        <v>682</v>
      </c>
      <c r="B84" s="1" t="s">
        <v>684</v>
      </c>
      <c r="C84" s="1" t="s">
        <v>30</v>
      </c>
      <c r="D84" s="1" t="s">
        <v>121</v>
      </c>
      <c r="E84" s="1" t="s">
        <v>68</v>
      </c>
      <c r="F84" s="1" t="s">
        <v>111</v>
      </c>
      <c r="G84" s="1" t="s">
        <v>293</v>
      </c>
      <c r="H84" s="5">
        <v>1.0</v>
      </c>
      <c r="I84" s="5">
        <v>1.0</v>
      </c>
      <c r="J84" s="5">
        <v>1.0</v>
      </c>
      <c r="K84" s="1" t="s">
        <v>686</v>
      </c>
      <c r="L84" s="1" t="s">
        <v>647</v>
      </c>
      <c r="M84" s="1" t="s">
        <v>274</v>
      </c>
      <c r="P84" s="1" t="s">
        <v>467</v>
      </c>
    </row>
    <row r="85">
      <c r="A85" s="1" t="s">
        <v>688</v>
      </c>
      <c r="B85" s="1" t="s">
        <v>689</v>
      </c>
      <c r="C85" s="1" t="s">
        <v>30</v>
      </c>
      <c r="D85" s="1" t="s">
        <v>691</v>
      </c>
      <c r="E85" s="1" t="s">
        <v>68</v>
      </c>
      <c r="F85" s="1" t="s">
        <v>111</v>
      </c>
      <c r="G85" s="1" t="s">
        <v>293</v>
      </c>
      <c r="H85" s="5">
        <v>1.0</v>
      </c>
      <c r="I85" s="5">
        <v>1.0</v>
      </c>
      <c r="J85" s="5">
        <v>1.0</v>
      </c>
      <c r="K85" s="1" t="s">
        <v>692</v>
      </c>
      <c r="L85" s="1" t="s">
        <v>38</v>
      </c>
      <c r="M85" s="1" t="s">
        <v>30</v>
      </c>
      <c r="N85" s="1" t="s">
        <v>266</v>
      </c>
      <c r="P85" s="1" t="s">
        <v>695</v>
      </c>
      <c r="Q85" s="1" t="s">
        <v>695</v>
      </c>
    </row>
    <row r="86">
      <c r="A86" s="1" t="s">
        <v>696</v>
      </c>
      <c r="B86" s="1" t="s">
        <v>697</v>
      </c>
      <c r="C86" s="1" t="s">
        <v>30</v>
      </c>
      <c r="D86" s="1" t="s">
        <v>699</v>
      </c>
      <c r="E86" s="1" t="s">
        <v>68</v>
      </c>
      <c r="F86" s="1" t="s">
        <v>111</v>
      </c>
      <c r="G86" s="1" t="s">
        <v>293</v>
      </c>
      <c r="H86" s="5">
        <v>1.0</v>
      </c>
      <c r="I86" s="5">
        <v>1.0</v>
      </c>
      <c r="J86" s="5">
        <v>1.0</v>
      </c>
      <c r="K86" s="1" t="s">
        <v>686</v>
      </c>
      <c r="L86" s="1" t="s">
        <v>38</v>
      </c>
      <c r="M86" s="1" t="s">
        <v>274</v>
      </c>
      <c r="N86" s="1" t="s">
        <v>266</v>
      </c>
      <c r="O86" s="1" t="s">
        <v>399</v>
      </c>
      <c r="P86" s="1" t="s">
        <v>467</v>
      </c>
      <c r="Q86" s="1" t="s">
        <v>468</v>
      </c>
    </row>
    <row r="87">
      <c r="A87" s="1" t="s">
        <v>702</v>
      </c>
      <c r="B87" s="1" t="s">
        <v>703</v>
      </c>
      <c r="C87" s="1" t="s">
        <v>30</v>
      </c>
      <c r="D87" s="1" t="s">
        <v>705</v>
      </c>
      <c r="E87" s="1" t="s">
        <v>68</v>
      </c>
      <c r="F87" s="1" t="s">
        <v>111</v>
      </c>
      <c r="G87" s="1" t="s">
        <v>293</v>
      </c>
      <c r="H87" s="5">
        <v>1.0</v>
      </c>
      <c r="I87" s="5">
        <v>1.0</v>
      </c>
      <c r="J87" s="5">
        <v>1.0</v>
      </c>
      <c r="K87" s="1" t="s">
        <v>706</v>
      </c>
      <c r="L87" s="1" t="s">
        <v>38</v>
      </c>
      <c r="M87" s="1" t="s">
        <v>30</v>
      </c>
      <c r="N87" s="1" t="s">
        <v>266</v>
      </c>
      <c r="P87" s="1" t="s">
        <v>695</v>
      </c>
      <c r="Q87" s="1" t="s">
        <v>695</v>
      </c>
    </row>
    <row r="88">
      <c r="A88" s="1" t="s">
        <v>708</v>
      </c>
      <c r="B88" s="1" t="s">
        <v>709</v>
      </c>
      <c r="C88" s="1" t="s">
        <v>64</v>
      </c>
      <c r="D88" s="1" t="s">
        <v>711</v>
      </c>
      <c r="E88" s="1" t="s">
        <v>712</v>
      </c>
      <c r="F88" s="1" t="s">
        <v>396</v>
      </c>
      <c r="G88" s="1" t="s">
        <v>417</v>
      </c>
      <c r="H88" s="7">
        <v>1.0</v>
      </c>
      <c r="I88" s="7">
        <v>1.0</v>
      </c>
      <c r="J88" s="7">
        <v>1.0</v>
      </c>
      <c r="K88" s="1" t="s">
        <v>714</v>
      </c>
      <c r="L88" s="1" t="s">
        <v>38</v>
      </c>
      <c r="M88" s="1" t="s">
        <v>274</v>
      </c>
      <c r="N88" s="1" t="s">
        <v>266</v>
      </c>
      <c r="O88" s="1" t="s">
        <v>399</v>
      </c>
      <c r="P88" s="1" t="s">
        <v>709</v>
      </c>
      <c r="Q88" s="1" t="s">
        <v>716</v>
      </c>
    </row>
    <row r="89">
      <c r="A89" s="1" t="s">
        <v>717</v>
      </c>
      <c r="B89" s="1" t="s">
        <v>718</v>
      </c>
      <c r="C89" s="1" t="s">
        <v>64</v>
      </c>
      <c r="D89" s="1" t="s">
        <v>719</v>
      </c>
      <c r="E89" s="1" t="s">
        <v>54</v>
      </c>
      <c r="F89" s="1" t="s">
        <v>126</v>
      </c>
      <c r="G89" s="1" t="s">
        <v>293</v>
      </c>
      <c r="H89" s="7">
        <v>1.0</v>
      </c>
      <c r="I89" s="7">
        <v>1.0</v>
      </c>
      <c r="J89" s="7">
        <v>1.0</v>
      </c>
      <c r="K89" s="1" t="s">
        <v>72</v>
      </c>
      <c r="L89" s="1" t="s">
        <v>38</v>
      </c>
      <c r="M89" s="1" t="s">
        <v>274</v>
      </c>
      <c r="N89" s="1" t="s">
        <v>266</v>
      </c>
      <c r="O89" s="1" t="s">
        <v>399</v>
      </c>
      <c r="P89" s="1" t="s">
        <v>723</v>
      </c>
      <c r="Q89" s="1" t="s">
        <v>468</v>
      </c>
    </row>
    <row r="90">
      <c r="A90" s="1" t="s">
        <v>724</v>
      </c>
      <c r="B90" s="1" t="s">
        <v>725</v>
      </c>
      <c r="C90" s="1" t="s">
        <v>64</v>
      </c>
      <c r="D90" s="1" t="s">
        <v>726</v>
      </c>
      <c r="E90" s="1" t="s">
        <v>54</v>
      </c>
      <c r="F90" s="1" t="s">
        <v>126</v>
      </c>
      <c r="G90" s="1" t="s">
        <v>417</v>
      </c>
      <c r="H90" s="7">
        <v>1.0</v>
      </c>
      <c r="I90" s="7">
        <v>1.0</v>
      </c>
      <c r="J90" s="7">
        <v>1.0</v>
      </c>
      <c r="K90" s="1" t="s">
        <v>728</v>
      </c>
      <c r="L90" s="1" t="s">
        <v>38</v>
      </c>
      <c r="M90" s="1" t="s">
        <v>274</v>
      </c>
      <c r="N90" s="1" t="s">
        <v>266</v>
      </c>
      <c r="O90" s="1" t="s">
        <v>399</v>
      </c>
      <c r="P90" s="1" t="s">
        <v>723</v>
      </c>
      <c r="Q90" s="1" t="s">
        <v>468</v>
      </c>
    </row>
    <row r="91">
      <c r="A91" s="1" t="s">
        <v>730</v>
      </c>
      <c r="B91" s="1" t="s">
        <v>731</v>
      </c>
      <c r="C91" s="1" t="s">
        <v>64</v>
      </c>
      <c r="D91" s="1" t="s">
        <v>732</v>
      </c>
      <c r="E91" s="1" t="s">
        <v>68</v>
      </c>
      <c r="F91" s="1" t="s">
        <v>25</v>
      </c>
      <c r="G91" s="1" t="s">
        <v>417</v>
      </c>
      <c r="H91" s="7">
        <v>1.0</v>
      </c>
      <c r="I91" s="7">
        <v>1.0</v>
      </c>
      <c r="J91" s="7">
        <v>1.0</v>
      </c>
      <c r="K91" s="1" t="s">
        <v>735</v>
      </c>
      <c r="L91" s="1" t="s">
        <v>38</v>
      </c>
      <c r="M91" s="1" t="s">
        <v>274</v>
      </c>
      <c r="N91" s="1" t="s">
        <v>266</v>
      </c>
      <c r="O91" s="1" t="s">
        <v>399</v>
      </c>
      <c r="P91" s="1" t="s">
        <v>723</v>
      </c>
      <c r="Q91" s="1" t="s">
        <v>468</v>
      </c>
    </row>
    <row r="92">
      <c r="A92" s="1" t="s">
        <v>737</v>
      </c>
      <c r="B92" s="1" t="s">
        <v>738</v>
      </c>
      <c r="C92" s="1" t="s">
        <v>30</v>
      </c>
      <c r="D92" s="1" t="s">
        <v>739</v>
      </c>
      <c r="E92" s="1" t="s">
        <v>68</v>
      </c>
      <c r="F92" s="1" t="s">
        <v>111</v>
      </c>
      <c r="G92" s="1" t="s">
        <v>293</v>
      </c>
      <c r="H92" s="7">
        <v>1.0</v>
      </c>
      <c r="I92" s="7">
        <v>1.0</v>
      </c>
      <c r="J92" s="7">
        <v>1.0</v>
      </c>
      <c r="K92" s="1" t="s">
        <v>742</v>
      </c>
      <c r="L92" s="1" t="s">
        <v>647</v>
      </c>
      <c r="M92" s="1" t="s">
        <v>30</v>
      </c>
      <c r="N92" s="1" t="s">
        <v>266</v>
      </c>
      <c r="P92" s="1" t="s">
        <v>743</v>
      </c>
      <c r="Q92" s="1" t="s">
        <v>743</v>
      </c>
    </row>
    <row r="93">
      <c r="A93" s="1" t="s">
        <v>745</v>
      </c>
      <c r="B93" s="1" t="s">
        <v>746</v>
      </c>
      <c r="C93" s="1" t="s">
        <v>30</v>
      </c>
      <c r="D93" s="1" t="s">
        <v>747</v>
      </c>
      <c r="E93" s="1" t="s">
        <v>68</v>
      </c>
      <c r="F93" s="1" t="s">
        <v>25</v>
      </c>
      <c r="G93" s="1" t="s">
        <v>293</v>
      </c>
      <c r="H93" s="7">
        <v>1.0</v>
      </c>
      <c r="I93" s="7">
        <v>1.0</v>
      </c>
      <c r="J93" s="7">
        <v>1.0</v>
      </c>
      <c r="K93" s="1" t="s">
        <v>660</v>
      </c>
      <c r="L93" s="1" t="s">
        <v>38</v>
      </c>
      <c r="M93" s="1" t="s">
        <v>30</v>
      </c>
      <c r="N93" s="1" t="s">
        <v>266</v>
      </c>
      <c r="P93" s="1" t="s">
        <v>750</v>
      </c>
      <c r="Q93" s="1" t="s">
        <v>750</v>
      </c>
    </row>
    <row r="94">
      <c r="A94" s="1" t="s">
        <v>751</v>
      </c>
      <c r="B94" s="1" t="s">
        <v>753</v>
      </c>
      <c r="C94" s="1" t="s">
        <v>30</v>
      </c>
      <c r="D94" s="1" t="s">
        <v>747</v>
      </c>
      <c r="E94" s="1" t="s">
        <v>68</v>
      </c>
      <c r="F94" s="1" t="s">
        <v>111</v>
      </c>
      <c r="G94" s="1" t="s">
        <v>293</v>
      </c>
      <c r="H94" s="7">
        <v>1.0</v>
      </c>
      <c r="I94" s="7">
        <v>1.0</v>
      </c>
      <c r="J94" s="7">
        <v>1.0</v>
      </c>
      <c r="K94" s="1" t="s">
        <v>755</v>
      </c>
      <c r="L94" s="1" t="s">
        <v>38</v>
      </c>
      <c r="M94" s="1" t="s">
        <v>30</v>
      </c>
      <c r="N94" s="1" t="s">
        <v>266</v>
      </c>
      <c r="P94" s="1" t="s">
        <v>743</v>
      </c>
      <c r="Q94" s="1" t="s">
        <v>743</v>
      </c>
    </row>
    <row r="95">
      <c r="A95" s="1" t="s">
        <v>756</v>
      </c>
      <c r="B95" s="1" t="s">
        <v>757</v>
      </c>
      <c r="C95" s="1" t="s">
        <v>30</v>
      </c>
      <c r="D95" s="1" t="s">
        <v>759</v>
      </c>
      <c r="E95" s="1" t="s">
        <v>54</v>
      </c>
      <c r="F95" s="1" t="s">
        <v>126</v>
      </c>
      <c r="G95" s="1" t="s">
        <v>293</v>
      </c>
      <c r="H95" s="7">
        <v>1.0</v>
      </c>
      <c r="I95" s="7">
        <v>1.0</v>
      </c>
      <c r="J95" s="7">
        <v>1.0</v>
      </c>
      <c r="K95" s="1" t="s">
        <v>761</v>
      </c>
      <c r="L95" s="1" t="s">
        <v>38</v>
      </c>
      <c r="M95" s="1" t="s">
        <v>30</v>
      </c>
      <c r="N95" s="1" t="s">
        <v>266</v>
      </c>
      <c r="P95" s="1" t="s">
        <v>750</v>
      </c>
      <c r="Q95" s="1" t="s">
        <v>750</v>
      </c>
    </row>
    <row r="96">
      <c r="A96" s="1" t="s">
        <v>763</v>
      </c>
      <c r="B96" s="1" t="s">
        <v>764</v>
      </c>
      <c r="C96" s="1" t="s">
        <v>30</v>
      </c>
      <c r="D96" s="1" t="s">
        <v>765</v>
      </c>
      <c r="E96" s="1" t="s">
        <v>54</v>
      </c>
      <c r="F96" s="1" t="s">
        <v>41</v>
      </c>
      <c r="G96" s="1" t="s">
        <v>293</v>
      </c>
      <c r="H96" s="7">
        <v>1.0</v>
      </c>
      <c r="I96" s="7">
        <v>1.0</v>
      </c>
      <c r="J96" s="7">
        <v>1.0</v>
      </c>
      <c r="K96" s="1" t="s">
        <v>767</v>
      </c>
      <c r="L96" s="1" t="s">
        <v>38</v>
      </c>
      <c r="M96" s="1" t="s">
        <v>30</v>
      </c>
      <c r="N96" s="1" t="s">
        <v>266</v>
      </c>
      <c r="P96" s="1" t="s">
        <v>770</v>
      </c>
      <c r="Q96" s="1" t="s">
        <v>750</v>
      </c>
    </row>
    <row r="97">
      <c r="A97" s="1" t="s">
        <v>772</v>
      </c>
      <c r="B97" s="1" t="s">
        <v>773</v>
      </c>
      <c r="C97" s="1" t="s">
        <v>30</v>
      </c>
      <c r="D97" s="1" t="s">
        <v>774</v>
      </c>
      <c r="E97" s="1" t="s">
        <v>223</v>
      </c>
      <c r="F97" s="1" t="s">
        <v>41</v>
      </c>
      <c r="G97" s="1" t="s">
        <v>293</v>
      </c>
      <c r="H97" s="7">
        <v>1.0</v>
      </c>
      <c r="I97" s="7">
        <v>1.0</v>
      </c>
      <c r="J97" s="7">
        <v>1.0</v>
      </c>
      <c r="K97" s="1" t="s">
        <v>778</v>
      </c>
      <c r="L97" s="1" t="s">
        <v>38</v>
      </c>
      <c r="M97" s="1" t="s">
        <v>30</v>
      </c>
      <c r="N97" s="1" t="s">
        <v>266</v>
      </c>
      <c r="P97" s="1" t="s">
        <v>770</v>
      </c>
      <c r="Q97" s="1" t="s">
        <v>770</v>
      </c>
    </row>
    <row r="98">
      <c r="A98" s="1" t="s">
        <v>780</v>
      </c>
      <c r="B98" s="1" t="s">
        <v>781</v>
      </c>
      <c r="C98" s="1" t="s">
        <v>30</v>
      </c>
      <c r="D98" s="1" t="s">
        <v>378</v>
      </c>
      <c r="E98" s="1" t="s">
        <v>68</v>
      </c>
      <c r="F98" s="1" t="s">
        <v>111</v>
      </c>
      <c r="G98" s="1" t="s">
        <v>611</v>
      </c>
      <c r="H98" s="7">
        <v>1.0</v>
      </c>
      <c r="I98" s="7">
        <v>1.0</v>
      </c>
      <c r="J98" s="7">
        <v>1.0</v>
      </c>
      <c r="K98" s="1" t="s">
        <v>660</v>
      </c>
      <c r="L98" s="1" t="s">
        <v>38</v>
      </c>
      <c r="M98" s="1" t="s">
        <v>30</v>
      </c>
      <c r="N98" s="1" t="s">
        <v>266</v>
      </c>
      <c r="P98" s="1" t="s">
        <v>770</v>
      </c>
      <c r="Q98" s="1" t="s">
        <v>770</v>
      </c>
    </row>
    <row r="99">
      <c r="A99" s="1" t="s">
        <v>785</v>
      </c>
      <c r="B99" s="1" t="s">
        <v>786</v>
      </c>
      <c r="C99" s="1" t="s">
        <v>30</v>
      </c>
      <c r="D99" s="1" t="s">
        <v>787</v>
      </c>
      <c r="E99" s="1" t="s">
        <v>68</v>
      </c>
      <c r="F99" s="1" t="s">
        <v>25</v>
      </c>
      <c r="G99" s="1" t="s">
        <v>611</v>
      </c>
      <c r="H99" s="7">
        <v>1.0</v>
      </c>
      <c r="I99" s="7">
        <v>1.0</v>
      </c>
      <c r="J99" s="7">
        <v>1.0</v>
      </c>
      <c r="K99" s="1" t="s">
        <v>633</v>
      </c>
      <c r="L99" s="1" t="s">
        <v>38</v>
      </c>
      <c r="M99" s="1" t="s">
        <v>30</v>
      </c>
      <c r="N99" s="1" t="s">
        <v>266</v>
      </c>
      <c r="P99" s="1" t="s">
        <v>770</v>
      </c>
      <c r="Q99" s="1" t="s">
        <v>770</v>
      </c>
    </row>
    <row r="100">
      <c r="A100" s="1" t="s">
        <v>790</v>
      </c>
      <c r="B100" s="1" t="s">
        <v>791</v>
      </c>
      <c r="C100" s="1" t="s">
        <v>30</v>
      </c>
      <c r="D100" s="1" t="s">
        <v>793</v>
      </c>
      <c r="E100" s="1" t="s">
        <v>68</v>
      </c>
      <c r="F100" s="1" t="s">
        <v>25</v>
      </c>
      <c r="G100" s="1" t="s">
        <v>611</v>
      </c>
      <c r="H100" s="7">
        <v>1.0</v>
      </c>
      <c r="I100" s="7">
        <v>1.0</v>
      </c>
      <c r="J100" s="7">
        <v>1.0</v>
      </c>
      <c r="K100" s="1" t="s">
        <v>633</v>
      </c>
      <c r="L100" s="1" t="s">
        <v>38</v>
      </c>
      <c r="M100" s="1" t="s">
        <v>30</v>
      </c>
      <c r="N100" s="1" t="s">
        <v>266</v>
      </c>
      <c r="P100" s="1" t="s">
        <v>770</v>
      </c>
      <c r="Q100" s="1" t="s">
        <v>770</v>
      </c>
    </row>
    <row r="101">
      <c r="A101" s="1" t="s">
        <v>796</v>
      </c>
      <c r="B101" s="1" t="s">
        <v>797</v>
      </c>
      <c r="C101" s="1" t="s">
        <v>30</v>
      </c>
      <c r="D101" s="1" t="s">
        <v>799</v>
      </c>
      <c r="E101" s="1" t="s">
        <v>140</v>
      </c>
      <c r="F101" s="1" t="s">
        <v>25</v>
      </c>
      <c r="G101" s="1" t="s">
        <v>417</v>
      </c>
      <c r="H101" s="7">
        <v>1.0</v>
      </c>
      <c r="I101" s="7">
        <v>1.0</v>
      </c>
      <c r="J101" s="7">
        <v>1.0</v>
      </c>
      <c r="K101" s="1" t="s">
        <v>800</v>
      </c>
      <c r="L101" s="1" t="s">
        <v>604</v>
      </c>
    </row>
    <row r="102">
      <c r="A102" s="1" t="s">
        <v>803</v>
      </c>
      <c r="B102" s="1" t="s">
        <v>804</v>
      </c>
      <c r="C102" s="1" t="s">
        <v>30</v>
      </c>
      <c r="D102" s="1" t="s">
        <v>799</v>
      </c>
      <c r="E102" s="1" t="s">
        <v>140</v>
      </c>
      <c r="F102" s="1" t="s">
        <v>41</v>
      </c>
      <c r="G102" s="1" t="s">
        <v>293</v>
      </c>
      <c r="H102" s="7">
        <v>1.0</v>
      </c>
      <c r="I102" s="7">
        <v>1.0</v>
      </c>
      <c r="J102" s="7">
        <v>1.0</v>
      </c>
      <c r="K102" s="1" t="s">
        <v>806</v>
      </c>
      <c r="L102" s="1" t="s">
        <v>604</v>
      </c>
    </row>
    <row r="103">
      <c r="A103" s="1" t="s">
        <v>807</v>
      </c>
      <c r="B103" s="1" t="s">
        <v>808</v>
      </c>
      <c r="C103" s="1" t="s">
        <v>30</v>
      </c>
      <c r="D103" s="1" t="s">
        <v>810</v>
      </c>
      <c r="E103" s="1" t="s">
        <v>35</v>
      </c>
      <c r="F103" s="1" t="s">
        <v>25</v>
      </c>
      <c r="G103" s="1" t="s">
        <v>417</v>
      </c>
      <c r="H103" s="7">
        <v>1.0</v>
      </c>
      <c r="I103" s="7">
        <v>1.0</v>
      </c>
      <c r="J103" s="7">
        <v>1.0</v>
      </c>
      <c r="K103" s="1" t="s">
        <v>800</v>
      </c>
      <c r="L103" s="1" t="s">
        <v>604</v>
      </c>
    </row>
    <row r="104">
      <c r="A104" s="1" t="s">
        <v>813</v>
      </c>
      <c r="B104" s="1" t="s">
        <v>814</v>
      </c>
      <c r="C104" s="1" t="s">
        <v>30</v>
      </c>
      <c r="D104" s="1" t="s">
        <v>815</v>
      </c>
      <c r="E104" s="1" t="s">
        <v>68</v>
      </c>
      <c r="F104" s="1" t="s">
        <v>25</v>
      </c>
      <c r="G104" s="1" t="s">
        <v>611</v>
      </c>
      <c r="H104" s="7">
        <v>1.0</v>
      </c>
      <c r="I104" s="7">
        <v>1.0</v>
      </c>
      <c r="J104" s="7">
        <v>1.0</v>
      </c>
      <c r="K104" s="1" t="s">
        <v>660</v>
      </c>
      <c r="L104" s="1" t="s">
        <v>604</v>
      </c>
    </row>
    <row r="105">
      <c r="A105" s="1" t="s">
        <v>817</v>
      </c>
      <c r="B105" s="1" t="s">
        <v>818</v>
      </c>
      <c r="C105" s="1" t="s">
        <v>30</v>
      </c>
      <c r="D105" s="1" t="s">
        <v>819</v>
      </c>
      <c r="E105" s="1" t="s">
        <v>163</v>
      </c>
      <c r="F105" s="1" t="s">
        <v>25</v>
      </c>
      <c r="G105" s="1" t="s">
        <v>611</v>
      </c>
      <c r="H105" s="7">
        <v>1.0</v>
      </c>
      <c r="I105" s="7">
        <v>1.0</v>
      </c>
      <c r="J105" s="7">
        <v>1.0</v>
      </c>
      <c r="K105" s="1" t="s">
        <v>660</v>
      </c>
      <c r="L105" s="1" t="s">
        <v>38</v>
      </c>
      <c r="M105" s="1" t="s">
        <v>30</v>
      </c>
      <c r="N105" s="1" t="s">
        <v>266</v>
      </c>
      <c r="P105" s="1" t="s">
        <v>743</v>
      </c>
      <c r="Q105" s="1" t="s">
        <v>822</v>
      </c>
    </row>
    <row r="106">
      <c r="A106" s="1" t="s">
        <v>823</v>
      </c>
      <c r="B106" s="1" t="s">
        <v>824</v>
      </c>
      <c r="C106" s="1" t="s">
        <v>30</v>
      </c>
      <c r="D106" s="1" t="s">
        <v>645</v>
      </c>
      <c r="E106" s="1" t="s">
        <v>223</v>
      </c>
      <c r="F106" s="1" t="s">
        <v>41</v>
      </c>
      <c r="G106" s="1" t="s">
        <v>293</v>
      </c>
      <c r="H106" s="7">
        <v>1.0</v>
      </c>
      <c r="I106" s="7">
        <v>1.0</v>
      </c>
      <c r="J106" s="7">
        <v>1.0</v>
      </c>
      <c r="K106" s="1" t="s">
        <v>827</v>
      </c>
      <c r="L106" s="1" t="s">
        <v>604</v>
      </c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5.63"/>
    <col customWidth="1" min="3" max="3" width="14.5"/>
    <col customWidth="1" min="4" max="4" width="16.25"/>
    <col customWidth="1" min="5" max="5" width="19.25"/>
    <col customWidth="1" min="6" max="6" width="14.88"/>
    <col customWidth="1" min="7" max="7" width="17.5"/>
    <col customWidth="1" min="8" max="8" width="19.0"/>
    <col customWidth="1" min="9" max="9" width="17.75"/>
  </cols>
  <sheetData>
    <row r="1">
      <c r="A1" s="3" t="s">
        <v>0</v>
      </c>
      <c r="B1" s="3" t="s">
        <v>8</v>
      </c>
      <c r="C1" s="3" t="s">
        <v>10</v>
      </c>
      <c r="D1" s="3" t="s">
        <v>15</v>
      </c>
      <c r="E1" s="3" t="s">
        <v>18</v>
      </c>
      <c r="F1" s="3" t="s">
        <v>7</v>
      </c>
      <c r="G1" s="3" t="s">
        <v>4</v>
      </c>
      <c r="H1" s="3" t="s">
        <v>24</v>
      </c>
      <c r="I1" s="3" t="s">
        <v>27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39</v>
      </c>
      <c r="B2" s="1" t="s">
        <v>42</v>
      </c>
      <c r="C2" s="1" t="s">
        <v>44</v>
      </c>
      <c r="D2" s="1" t="s">
        <v>45</v>
      </c>
      <c r="E2" s="1" t="s">
        <v>25</v>
      </c>
      <c r="F2" s="5">
        <v>2.0</v>
      </c>
      <c r="G2" s="1" t="s">
        <v>35</v>
      </c>
      <c r="H2" s="1" t="s">
        <v>50</v>
      </c>
      <c r="I2" s="1" t="s">
        <v>52</v>
      </c>
    </row>
    <row r="3">
      <c r="A3" s="1" t="s">
        <v>55</v>
      </c>
      <c r="B3" s="1" t="s">
        <v>42</v>
      </c>
      <c r="C3" s="1" t="s">
        <v>44</v>
      </c>
      <c r="D3" s="1" t="s">
        <v>45</v>
      </c>
      <c r="E3" s="1" t="s">
        <v>41</v>
      </c>
      <c r="F3" s="5">
        <v>2.0</v>
      </c>
      <c r="G3" s="1" t="s">
        <v>35</v>
      </c>
      <c r="H3" s="1" t="s">
        <v>50</v>
      </c>
      <c r="I3" s="1" t="s">
        <v>52</v>
      </c>
    </row>
    <row r="4">
      <c r="A4" s="1" t="s">
        <v>60</v>
      </c>
      <c r="B4" s="1" t="s">
        <v>62</v>
      </c>
      <c r="C4" s="1" t="s">
        <v>64</v>
      </c>
      <c r="D4" s="1" t="s">
        <v>66</v>
      </c>
      <c r="E4" s="1" t="s">
        <v>25</v>
      </c>
      <c r="F4" s="5">
        <v>2.0</v>
      </c>
      <c r="G4" s="1" t="s">
        <v>35</v>
      </c>
      <c r="H4" s="1" t="s">
        <v>69</v>
      </c>
      <c r="I4" s="1" t="s">
        <v>52</v>
      </c>
    </row>
    <row r="5">
      <c r="A5" s="1" t="s">
        <v>71</v>
      </c>
      <c r="B5" s="1" t="s">
        <v>62</v>
      </c>
      <c r="C5" s="1" t="s">
        <v>64</v>
      </c>
      <c r="D5" s="1" t="s">
        <v>66</v>
      </c>
      <c r="E5" s="1" t="s">
        <v>58</v>
      </c>
      <c r="F5" s="5">
        <v>2.0</v>
      </c>
      <c r="G5" s="1" t="s">
        <v>35</v>
      </c>
      <c r="H5" s="1" t="s">
        <v>69</v>
      </c>
      <c r="I5" s="1" t="s">
        <v>52</v>
      </c>
    </row>
    <row r="6">
      <c r="A6" s="1" t="s">
        <v>79</v>
      </c>
      <c r="B6" s="1" t="s">
        <v>80</v>
      </c>
      <c r="C6" s="1" t="s">
        <v>64</v>
      </c>
      <c r="D6" s="1" t="s">
        <v>84</v>
      </c>
      <c r="E6" s="1" t="s">
        <v>25</v>
      </c>
      <c r="F6" s="5">
        <v>1.0</v>
      </c>
      <c r="G6" s="1" t="s">
        <v>53</v>
      </c>
      <c r="H6" s="1" t="s">
        <v>87</v>
      </c>
      <c r="I6" s="1" t="s">
        <v>52</v>
      </c>
    </row>
    <row r="7">
      <c r="A7" s="1" t="s">
        <v>89</v>
      </c>
      <c r="B7" s="1" t="s">
        <v>80</v>
      </c>
      <c r="C7" s="1" t="s">
        <v>64</v>
      </c>
      <c r="D7" s="1" t="s">
        <v>84</v>
      </c>
      <c r="E7" s="1" t="s">
        <v>41</v>
      </c>
      <c r="F7" s="5">
        <v>1.0</v>
      </c>
      <c r="G7" s="1" t="s">
        <v>53</v>
      </c>
      <c r="H7" s="1" t="s">
        <v>87</v>
      </c>
      <c r="I7" s="1" t="s">
        <v>52</v>
      </c>
    </row>
    <row r="8">
      <c r="A8" s="1" t="s">
        <v>95</v>
      </c>
      <c r="B8" s="1" t="s">
        <v>96</v>
      </c>
      <c r="C8" s="1" t="s">
        <v>64</v>
      </c>
      <c r="D8" s="1" t="s">
        <v>98</v>
      </c>
      <c r="E8" s="1" t="s">
        <v>25</v>
      </c>
      <c r="F8" s="5">
        <v>1.0</v>
      </c>
      <c r="G8" s="1" t="s">
        <v>53</v>
      </c>
      <c r="H8" s="1" t="s">
        <v>87</v>
      </c>
      <c r="I8" s="1" t="s">
        <v>52</v>
      </c>
    </row>
    <row r="9">
      <c r="A9" s="1" t="s">
        <v>104</v>
      </c>
      <c r="B9" s="1" t="s">
        <v>96</v>
      </c>
      <c r="C9" s="1" t="s">
        <v>64</v>
      </c>
      <c r="D9" s="1" t="s">
        <v>98</v>
      </c>
      <c r="E9" s="1" t="s">
        <v>41</v>
      </c>
      <c r="F9" s="5">
        <v>1.0</v>
      </c>
      <c r="G9" s="1" t="s">
        <v>53</v>
      </c>
      <c r="H9" s="1" t="s">
        <v>87</v>
      </c>
      <c r="I9" s="1" t="s">
        <v>52</v>
      </c>
    </row>
    <row r="10">
      <c r="A10" s="1" t="s">
        <v>110</v>
      </c>
      <c r="B10" s="1" t="s">
        <v>96</v>
      </c>
      <c r="C10" s="1" t="s">
        <v>64</v>
      </c>
      <c r="D10" s="1" t="s">
        <v>112</v>
      </c>
      <c r="E10" s="1" t="s">
        <v>25</v>
      </c>
      <c r="F10" s="5">
        <v>1.0</v>
      </c>
      <c r="G10" s="1" t="s">
        <v>53</v>
      </c>
      <c r="H10" s="1" t="s">
        <v>87</v>
      </c>
      <c r="I10" s="1" t="s">
        <v>52</v>
      </c>
    </row>
    <row r="11">
      <c r="A11" s="1" t="s">
        <v>122</v>
      </c>
      <c r="B11" s="1" t="s">
        <v>96</v>
      </c>
      <c r="C11" s="1" t="s">
        <v>64</v>
      </c>
      <c r="D11" s="1" t="s">
        <v>112</v>
      </c>
      <c r="E11" s="1" t="s">
        <v>41</v>
      </c>
      <c r="F11" s="5">
        <v>1.0</v>
      </c>
      <c r="G11" s="1" t="s">
        <v>53</v>
      </c>
      <c r="H11" s="1" t="s">
        <v>87</v>
      </c>
      <c r="I11" s="1" t="s">
        <v>52</v>
      </c>
    </row>
    <row r="12">
      <c r="A12" s="1" t="s">
        <v>130</v>
      </c>
      <c r="B12" s="1" t="s">
        <v>132</v>
      </c>
      <c r="C12" s="1" t="s">
        <v>64</v>
      </c>
      <c r="D12" s="1" t="s">
        <v>135</v>
      </c>
      <c r="E12" s="1" t="s">
        <v>41</v>
      </c>
      <c r="F12" s="7">
        <v>1.0</v>
      </c>
      <c r="G12" s="1" t="s">
        <v>140</v>
      </c>
      <c r="H12" s="1" t="s">
        <v>143</v>
      </c>
      <c r="I12" s="1" t="s">
        <v>145</v>
      </c>
    </row>
    <row r="13">
      <c r="A13" s="1" t="s">
        <v>146</v>
      </c>
      <c r="B13" s="1" t="s">
        <v>147</v>
      </c>
      <c r="C13" s="1" t="s">
        <v>64</v>
      </c>
      <c r="D13" s="1" t="s">
        <v>149</v>
      </c>
      <c r="E13" s="1" t="s">
        <v>41</v>
      </c>
      <c r="F13" s="7">
        <v>1.0</v>
      </c>
      <c r="G13" s="1" t="s">
        <v>54</v>
      </c>
      <c r="H13" s="1" t="s">
        <v>154</v>
      </c>
      <c r="I13" s="1" t="s">
        <v>145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5.63"/>
    <col customWidth="1" min="3" max="3" width="14.25"/>
    <col customWidth="1" min="4" max="4" width="18.13"/>
    <col customWidth="1" min="5" max="5" width="14.75"/>
    <col customWidth="1" min="6" max="6" width="17.38"/>
  </cols>
  <sheetData>
    <row r="1">
      <c r="A1" s="1" t="s">
        <v>0</v>
      </c>
      <c r="B1" s="1" t="s">
        <v>8</v>
      </c>
      <c r="C1" s="1" t="s">
        <v>10</v>
      </c>
      <c r="D1" s="1" t="s">
        <v>13</v>
      </c>
      <c r="E1" s="1" t="s">
        <v>7</v>
      </c>
      <c r="F1" s="1" t="s">
        <v>4</v>
      </c>
    </row>
    <row r="2">
      <c r="A2" s="1" t="s">
        <v>19</v>
      </c>
      <c r="B2" s="2" t="s">
        <v>21</v>
      </c>
      <c r="C2" s="1" t="s">
        <v>23</v>
      </c>
      <c r="D2" s="1" t="s">
        <v>25</v>
      </c>
      <c r="E2" s="5">
        <v>40.0</v>
      </c>
      <c r="F2" s="1" t="s">
        <v>35</v>
      </c>
    </row>
    <row r="3">
      <c r="A3" s="1" t="s">
        <v>37</v>
      </c>
      <c r="B3" s="2" t="s">
        <v>21</v>
      </c>
      <c r="C3" s="1" t="s">
        <v>23</v>
      </c>
      <c r="D3" s="1" t="s">
        <v>41</v>
      </c>
      <c r="E3" s="5">
        <v>41.0</v>
      </c>
      <c r="F3" s="1" t="s">
        <v>35</v>
      </c>
    </row>
    <row r="4">
      <c r="A4" s="1" t="s">
        <v>46</v>
      </c>
      <c r="B4" s="2" t="s">
        <v>48</v>
      </c>
      <c r="C4" s="1" t="s">
        <v>23</v>
      </c>
      <c r="D4" s="1" t="s">
        <v>25</v>
      </c>
      <c r="E4" s="5">
        <v>2.0</v>
      </c>
      <c r="F4" s="1" t="s">
        <v>54</v>
      </c>
    </row>
    <row r="5">
      <c r="A5" s="1" t="s">
        <v>56</v>
      </c>
      <c r="B5" s="2" t="s">
        <v>48</v>
      </c>
      <c r="C5" s="1" t="s">
        <v>23</v>
      </c>
      <c r="D5" s="1" t="s">
        <v>58</v>
      </c>
      <c r="E5" s="5">
        <v>2.0</v>
      </c>
      <c r="F5" s="1" t="s">
        <v>54</v>
      </c>
    </row>
    <row r="6">
      <c r="A6" s="1" t="s">
        <v>59</v>
      </c>
      <c r="B6" s="2" t="s">
        <v>48</v>
      </c>
      <c r="C6" s="1" t="s">
        <v>23</v>
      </c>
      <c r="D6" s="1" t="s">
        <v>41</v>
      </c>
      <c r="E6" s="5">
        <v>5.0</v>
      </c>
      <c r="F6" s="1" t="s">
        <v>54</v>
      </c>
    </row>
    <row r="7">
      <c r="A7" s="1" t="s">
        <v>70</v>
      </c>
      <c r="B7" s="2" t="s">
        <v>48</v>
      </c>
      <c r="C7" s="1" t="s">
        <v>23</v>
      </c>
      <c r="D7" s="1" t="s">
        <v>73</v>
      </c>
      <c r="E7" s="5">
        <v>2.0</v>
      </c>
      <c r="F7" s="1" t="s">
        <v>54</v>
      </c>
    </row>
    <row r="8">
      <c r="A8" s="1" t="s">
        <v>76</v>
      </c>
      <c r="B8" s="2" t="s">
        <v>48</v>
      </c>
      <c r="C8" s="1" t="s">
        <v>23</v>
      </c>
      <c r="D8" s="1" t="s">
        <v>25</v>
      </c>
      <c r="E8" s="5">
        <v>2.0</v>
      </c>
      <c r="F8" s="1" t="s">
        <v>54</v>
      </c>
    </row>
    <row r="9">
      <c r="A9" s="1" t="s">
        <v>85</v>
      </c>
      <c r="B9" s="2" t="s">
        <v>48</v>
      </c>
      <c r="C9" s="1" t="s">
        <v>23</v>
      </c>
      <c r="D9" s="1" t="s">
        <v>58</v>
      </c>
      <c r="E9" s="5">
        <v>2.0</v>
      </c>
      <c r="F9" s="1" t="s">
        <v>54</v>
      </c>
    </row>
    <row r="10">
      <c r="A10" s="1" t="s">
        <v>93</v>
      </c>
      <c r="B10" s="2" t="s">
        <v>48</v>
      </c>
      <c r="C10" s="1" t="s">
        <v>23</v>
      </c>
      <c r="D10" s="1" t="s">
        <v>41</v>
      </c>
      <c r="E10" s="5">
        <v>5.0</v>
      </c>
      <c r="F10" s="1" t="s">
        <v>54</v>
      </c>
    </row>
    <row r="11">
      <c r="A11" s="1" t="s">
        <v>97</v>
      </c>
      <c r="B11" s="2" t="s">
        <v>48</v>
      </c>
      <c r="C11" s="1" t="s">
        <v>23</v>
      </c>
      <c r="D11" s="1" t="s">
        <v>73</v>
      </c>
      <c r="E11" s="5">
        <v>2.0</v>
      </c>
      <c r="F11" s="1" t="s">
        <v>54</v>
      </c>
    </row>
    <row r="12">
      <c r="A12" s="1" t="s">
        <v>102</v>
      </c>
      <c r="B12" s="2" t="s">
        <v>103</v>
      </c>
      <c r="C12" s="1" t="s">
        <v>23</v>
      </c>
      <c r="D12" s="1" t="s">
        <v>58</v>
      </c>
      <c r="E12" s="5">
        <v>3.0</v>
      </c>
      <c r="F12" s="1" t="s">
        <v>106</v>
      </c>
    </row>
    <row r="13">
      <c r="A13" s="1" t="s">
        <v>108</v>
      </c>
      <c r="B13" s="2" t="s">
        <v>103</v>
      </c>
      <c r="C13" s="1" t="s">
        <v>23</v>
      </c>
      <c r="D13" s="1" t="s">
        <v>73</v>
      </c>
      <c r="E13" s="5">
        <v>3.0</v>
      </c>
      <c r="F13" s="1" t="s">
        <v>106</v>
      </c>
    </row>
    <row r="14">
      <c r="A14" s="1" t="s">
        <v>114</v>
      </c>
      <c r="B14" s="2" t="s">
        <v>115</v>
      </c>
      <c r="C14" s="1" t="s">
        <v>23</v>
      </c>
      <c r="D14" s="1" t="s">
        <v>25</v>
      </c>
      <c r="E14" s="5">
        <v>3.0</v>
      </c>
      <c r="F14" s="1" t="s">
        <v>119</v>
      </c>
    </row>
    <row r="15">
      <c r="A15" s="1" t="s">
        <v>123</v>
      </c>
      <c r="B15" s="2" t="s">
        <v>115</v>
      </c>
      <c r="C15" s="1" t="s">
        <v>23</v>
      </c>
      <c r="D15" s="1" t="s">
        <v>126</v>
      </c>
      <c r="E15" s="5">
        <v>4.0</v>
      </c>
      <c r="F15" s="1" t="s">
        <v>119</v>
      </c>
    </row>
    <row r="16">
      <c r="A16" s="1" t="s">
        <v>128</v>
      </c>
      <c r="B16" s="2" t="s">
        <v>136</v>
      </c>
      <c r="C16" s="1" t="s">
        <v>23</v>
      </c>
      <c r="D16" s="1" t="s">
        <v>126</v>
      </c>
      <c r="E16" s="5">
        <v>2.0</v>
      </c>
      <c r="F16" s="1" t="s">
        <v>141</v>
      </c>
    </row>
    <row r="17">
      <c r="A17" s="1" t="s">
        <v>144</v>
      </c>
      <c r="B17" s="2" t="s">
        <v>136</v>
      </c>
      <c r="C17" s="1" t="s">
        <v>23</v>
      </c>
      <c r="D17" s="1" t="s">
        <v>127</v>
      </c>
      <c r="E17" s="5">
        <v>2.0</v>
      </c>
      <c r="F17" s="1" t="s">
        <v>141</v>
      </c>
    </row>
    <row r="18">
      <c r="A18" s="1" t="s">
        <v>151</v>
      </c>
      <c r="B18" s="2" t="s">
        <v>153</v>
      </c>
      <c r="C18" s="1" t="s">
        <v>23</v>
      </c>
      <c r="D18" s="1" t="s">
        <v>126</v>
      </c>
      <c r="E18" s="5">
        <v>2.0</v>
      </c>
      <c r="F18" s="1" t="s">
        <v>141</v>
      </c>
    </row>
    <row r="19">
      <c r="A19" s="1" t="s">
        <v>156</v>
      </c>
      <c r="B19" s="2" t="s">
        <v>153</v>
      </c>
      <c r="C19" s="1" t="s">
        <v>23</v>
      </c>
      <c r="D19" s="1" t="s">
        <v>127</v>
      </c>
      <c r="E19" s="5">
        <v>2.0</v>
      </c>
      <c r="F19" s="1" t="s">
        <v>141</v>
      </c>
    </row>
    <row r="20">
      <c r="A20" s="1" t="s">
        <v>161</v>
      </c>
      <c r="B20" s="2" t="s">
        <v>162</v>
      </c>
      <c r="C20" s="1" t="s">
        <v>23</v>
      </c>
      <c r="D20" s="1" t="s">
        <v>25</v>
      </c>
      <c r="E20" s="5">
        <v>3.0</v>
      </c>
      <c r="F20" s="1" t="s">
        <v>163</v>
      </c>
    </row>
    <row r="21">
      <c r="A21" s="1" t="s">
        <v>166</v>
      </c>
      <c r="B21" s="2" t="s">
        <v>162</v>
      </c>
      <c r="C21" s="1" t="s">
        <v>23</v>
      </c>
      <c r="D21" s="1" t="s">
        <v>126</v>
      </c>
      <c r="E21" s="5">
        <v>3.0</v>
      </c>
      <c r="F21" s="1" t="s">
        <v>163</v>
      </c>
    </row>
    <row r="22">
      <c r="A22" s="1" t="s">
        <v>170</v>
      </c>
      <c r="B22" s="2" t="s">
        <v>171</v>
      </c>
      <c r="C22" s="1" t="s">
        <v>23</v>
      </c>
      <c r="D22" s="1" t="s">
        <v>25</v>
      </c>
      <c r="E22" s="5">
        <v>1.0</v>
      </c>
      <c r="F22" s="1" t="s">
        <v>82</v>
      </c>
    </row>
    <row r="23">
      <c r="A23" s="1" t="s">
        <v>176</v>
      </c>
      <c r="B23" s="2" t="s">
        <v>171</v>
      </c>
      <c r="C23" s="1" t="s">
        <v>23</v>
      </c>
      <c r="D23" s="1" t="s">
        <v>41</v>
      </c>
      <c r="E23" s="5">
        <v>2.0</v>
      </c>
      <c r="F23" s="1" t="s">
        <v>82</v>
      </c>
    </row>
    <row r="24">
      <c r="A24" s="1" t="s">
        <v>178</v>
      </c>
      <c r="B24" s="2" t="s">
        <v>179</v>
      </c>
      <c r="C24" s="1" t="s">
        <v>23</v>
      </c>
      <c r="D24" s="1" t="s">
        <v>25</v>
      </c>
      <c r="E24" s="5">
        <v>2.0</v>
      </c>
      <c r="F24" s="1" t="s">
        <v>183</v>
      </c>
    </row>
    <row r="25">
      <c r="A25" s="1" t="s">
        <v>185</v>
      </c>
      <c r="B25" s="2" t="s">
        <v>179</v>
      </c>
      <c r="C25" s="1" t="s">
        <v>23</v>
      </c>
      <c r="D25" s="1" t="s">
        <v>41</v>
      </c>
      <c r="E25" s="5">
        <v>3.0</v>
      </c>
      <c r="F25" s="1" t="s">
        <v>183</v>
      </c>
    </row>
    <row r="26">
      <c r="A26" s="1" t="s">
        <v>190</v>
      </c>
      <c r="B26" s="2" t="s">
        <v>179</v>
      </c>
      <c r="C26" s="1" t="s">
        <v>23</v>
      </c>
      <c r="D26" s="1" t="s">
        <v>139</v>
      </c>
      <c r="E26" s="5">
        <v>2.0</v>
      </c>
      <c r="F26" s="1" t="s">
        <v>183</v>
      </c>
    </row>
    <row r="27">
      <c r="A27" s="1" t="s">
        <v>194</v>
      </c>
      <c r="B27" s="2" t="s">
        <v>195</v>
      </c>
      <c r="C27" s="1" t="s">
        <v>23</v>
      </c>
      <c r="D27" s="1" t="s">
        <v>25</v>
      </c>
      <c r="E27" s="5">
        <v>6.0</v>
      </c>
      <c r="F27" s="1" t="s">
        <v>140</v>
      </c>
    </row>
    <row r="28">
      <c r="A28" s="1" t="s">
        <v>199</v>
      </c>
      <c r="B28" s="2" t="s">
        <v>195</v>
      </c>
      <c r="C28" s="1" t="s">
        <v>23</v>
      </c>
      <c r="D28" s="1" t="s">
        <v>41</v>
      </c>
      <c r="E28" s="5">
        <v>9.0</v>
      </c>
      <c r="F28" s="1" t="s">
        <v>140</v>
      </c>
    </row>
    <row r="29">
      <c r="A29" s="1" t="s">
        <v>201</v>
      </c>
      <c r="B29" s="2" t="s">
        <v>195</v>
      </c>
      <c r="C29" s="1" t="s">
        <v>23</v>
      </c>
      <c r="D29" s="1" t="s">
        <v>127</v>
      </c>
      <c r="E29" s="5">
        <v>8.0</v>
      </c>
      <c r="F29" s="1" t="s">
        <v>140</v>
      </c>
    </row>
    <row r="30">
      <c r="A30" s="1" t="s">
        <v>204</v>
      </c>
      <c r="B30" s="2" t="s">
        <v>195</v>
      </c>
      <c r="C30" s="1" t="s">
        <v>23</v>
      </c>
      <c r="D30" s="1" t="s">
        <v>139</v>
      </c>
      <c r="E30" s="5">
        <v>6.0</v>
      </c>
      <c r="F30" s="1" t="s">
        <v>140</v>
      </c>
    </row>
    <row r="31">
      <c r="A31" s="1" t="s">
        <v>205</v>
      </c>
      <c r="B31" s="2" t="s">
        <v>207</v>
      </c>
      <c r="C31" s="1" t="s">
        <v>23</v>
      </c>
      <c r="D31" s="1" t="s">
        <v>58</v>
      </c>
      <c r="E31" s="5">
        <v>1.0</v>
      </c>
      <c r="F31" s="1" t="s">
        <v>210</v>
      </c>
    </row>
    <row r="32">
      <c r="A32" s="1" t="s">
        <v>212</v>
      </c>
      <c r="B32" s="2" t="s">
        <v>207</v>
      </c>
      <c r="C32" s="1" t="s">
        <v>23</v>
      </c>
      <c r="D32" s="1" t="s">
        <v>73</v>
      </c>
      <c r="E32" s="5">
        <v>1.0</v>
      </c>
      <c r="F32" s="1" t="s">
        <v>210</v>
      </c>
    </row>
    <row r="33">
      <c r="A33" s="1" t="s">
        <v>217</v>
      </c>
      <c r="B33" s="2" t="s">
        <v>207</v>
      </c>
      <c r="C33" s="1" t="s">
        <v>23</v>
      </c>
      <c r="D33" s="1" t="s">
        <v>126</v>
      </c>
      <c r="E33" s="5">
        <v>1.0</v>
      </c>
      <c r="F33" s="1" t="s">
        <v>210</v>
      </c>
    </row>
    <row r="34">
      <c r="A34" s="1" t="s">
        <v>219</v>
      </c>
      <c r="B34" s="2" t="s">
        <v>207</v>
      </c>
      <c r="C34" s="1" t="s">
        <v>23</v>
      </c>
      <c r="D34" s="1" t="s">
        <v>127</v>
      </c>
      <c r="E34" s="5">
        <v>3.0</v>
      </c>
      <c r="F34" s="1" t="s">
        <v>210</v>
      </c>
    </row>
    <row r="35">
      <c r="A35" s="1" t="s">
        <v>224</v>
      </c>
      <c r="B35" s="2" t="s">
        <v>226</v>
      </c>
      <c r="C35" s="1" t="s">
        <v>23</v>
      </c>
      <c r="D35" s="1" t="s">
        <v>25</v>
      </c>
      <c r="E35" s="5">
        <v>6.0</v>
      </c>
      <c r="F35" s="1" t="s">
        <v>228</v>
      </c>
    </row>
    <row r="36">
      <c r="A36" s="1" t="s">
        <v>230</v>
      </c>
      <c r="B36" s="2" t="s">
        <v>226</v>
      </c>
      <c r="C36" s="1" t="s">
        <v>23</v>
      </c>
      <c r="D36" s="1" t="s">
        <v>41</v>
      </c>
      <c r="E36" s="5">
        <v>2.0</v>
      </c>
      <c r="F36" s="1" t="s">
        <v>228</v>
      </c>
    </row>
    <row r="37">
      <c r="A37" s="1" t="s">
        <v>236</v>
      </c>
      <c r="B37" s="2" t="s">
        <v>226</v>
      </c>
      <c r="C37" s="1" t="s">
        <v>23</v>
      </c>
      <c r="D37" s="1" t="s">
        <v>126</v>
      </c>
      <c r="E37" s="5">
        <v>2.0</v>
      </c>
      <c r="F37" s="1" t="s">
        <v>228</v>
      </c>
    </row>
    <row r="38">
      <c r="A38" s="1" t="s">
        <v>240</v>
      </c>
      <c r="B38" s="2" t="s">
        <v>226</v>
      </c>
      <c r="C38" s="1" t="s">
        <v>23</v>
      </c>
      <c r="D38" s="1" t="s">
        <v>133</v>
      </c>
      <c r="E38" s="5">
        <v>8.0</v>
      </c>
      <c r="F38" s="1" t="s">
        <v>228</v>
      </c>
    </row>
    <row r="39">
      <c r="A39" s="1" t="s">
        <v>244</v>
      </c>
      <c r="B39" s="2" t="s">
        <v>246</v>
      </c>
      <c r="C39" s="1" t="s">
        <v>23</v>
      </c>
      <c r="D39" s="1" t="s">
        <v>25</v>
      </c>
      <c r="E39" s="5">
        <v>5.0</v>
      </c>
      <c r="F39" s="1" t="s">
        <v>247</v>
      </c>
    </row>
    <row r="40">
      <c r="A40" s="1" t="s">
        <v>248</v>
      </c>
      <c r="B40" s="2" t="s">
        <v>246</v>
      </c>
      <c r="C40" s="1" t="s">
        <v>23</v>
      </c>
      <c r="D40" s="1" t="s">
        <v>133</v>
      </c>
      <c r="E40" s="5">
        <v>14.0</v>
      </c>
      <c r="F40" s="1" t="s">
        <v>247</v>
      </c>
    </row>
    <row r="41">
      <c r="A41" s="1" t="s">
        <v>252</v>
      </c>
      <c r="B41" s="2" t="s">
        <v>253</v>
      </c>
      <c r="C41" s="1" t="s">
        <v>23</v>
      </c>
      <c r="D41" s="1" t="s">
        <v>25</v>
      </c>
      <c r="E41" s="5">
        <v>8.0</v>
      </c>
      <c r="F41" s="1" t="s">
        <v>53</v>
      </c>
    </row>
    <row r="42">
      <c r="A42" s="1" t="s">
        <v>257</v>
      </c>
      <c r="B42" s="2" t="s">
        <v>253</v>
      </c>
      <c r="C42" s="1" t="s">
        <v>23</v>
      </c>
      <c r="D42" s="1" t="s">
        <v>126</v>
      </c>
      <c r="E42" s="5">
        <v>8.0</v>
      </c>
      <c r="F42" s="1" t="s">
        <v>53</v>
      </c>
    </row>
    <row r="43">
      <c r="A43" s="1" t="s">
        <v>259</v>
      </c>
      <c r="B43" s="2" t="s">
        <v>260</v>
      </c>
      <c r="C43" s="1" t="s">
        <v>23</v>
      </c>
      <c r="D43" s="1" t="s">
        <v>25</v>
      </c>
      <c r="E43" s="5">
        <v>4.0</v>
      </c>
      <c r="F43" s="1" t="s">
        <v>263</v>
      </c>
    </row>
    <row r="44">
      <c r="A44" s="1" t="s">
        <v>264</v>
      </c>
      <c r="B44" s="2" t="s">
        <v>260</v>
      </c>
      <c r="C44" s="1" t="s">
        <v>23</v>
      </c>
      <c r="D44" s="1" t="s">
        <v>73</v>
      </c>
      <c r="E44" s="5">
        <v>4.0</v>
      </c>
      <c r="F44" s="1" t="s">
        <v>263</v>
      </c>
    </row>
    <row r="45">
      <c r="A45" s="1" t="s">
        <v>269</v>
      </c>
      <c r="B45" s="2" t="s">
        <v>260</v>
      </c>
      <c r="C45" s="1" t="s">
        <v>23</v>
      </c>
      <c r="D45" s="1" t="s">
        <v>127</v>
      </c>
      <c r="E45" s="5">
        <v>2.0</v>
      </c>
      <c r="F45" s="1" t="s">
        <v>263</v>
      </c>
    </row>
    <row r="46">
      <c r="A46" s="1" t="s">
        <v>273</v>
      </c>
      <c r="B46" s="2" t="s">
        <v>260</v>
      </c>
      <c r="C46" s="1" t="s">
        <v>23</v>
      </c>
      <c r="D46" s="1" t="s">
        <v>25</v>
      </c>
      <c r="E46" s="5">
        <v>4.0</v>
      </c>
      <c r="F46" s="1" t="s">
        <v>263</v>
      </c>
    </row>
    <row r="47">
      <c r="A47" s="1" t="s">
        <v>278</v>
      </c>
      <c r="B47" s="2" t="s">
        <v>260</v>
      </c>
      <c r="C47" s="1" t="s">
        <v>23</v>
      </c>
      <c r="D47" s="1" t="s">
        <v>73</v>
      </c>
      <c r="E47" s="5">
        <v>4.0</v>
      </c>
      <c r="F47" s="1" t="s">
        <v>263</v>
      </c>
    </row>
    <row r="48">
      <c r="A48" s="1" t="s">
        <v>282</v>
      </c>
      <c r="B48" s="2" t="s">
        <v>260</v>
      </c>
      <c r="C48" s="1" t="s">
        <v>23</v>
      </c>
      <c r="D48" s="1" t="s">
        <v>127</v>
      </c>
      <c r="E48" s="5">
        <v>2.0</v>
      </c>
      <c r="F48" s="1" t="s">
        <v>263</v>
      </c>
    </row>
    <row r="49">
      <c r="A49" s="1" t="s">
        <v>286</v>
      </c>
      <c r="B49" s="2" t="s">
        <v>287</v>
      </c>
      <c r="C49" s="1" t="s">
        <v>23</v>
      </c>
      <c r="D49" s="1" t="s">
        <v>25</v>
      </c>
      <c r="E49" s="5">
        <v>44.0</v>
      </c>
      <c r="F49" s="1" t="s">
        <v>68</v>
      </c>
    </row>
    <row r="50">
      <c r="A50" s="1" t="s">
        <v>289</v>
      </c>
      <c r="B50" s="2" t="s">
        <v>287</v>
      </c>
      <c r="C50" s="1" t="s">
        <v>23</v>
      </c>
      <c r="D50" s="1" t="s">
        <v>111</v>
      </c>
      <c r="E50" s="5">
        <v>44.0</v>
      </c>
      <c r="F50" s="1" t="s">
        <v>68</v>
      </c>
    </row>
    <row r="51">
      <c r="A51" s="1" t="s">
        <v>294</v>
      </c>
      <c r="B51" s="1" t="s">
        <v>295</v>
      </c>
      <c r="C51" s="1" t="s">
        <v>23</v>
      </c>
      <c r="D51" s="1" t="s">
        <v>129</v>
      </c>
      <c r="E51" s="5">
        <v>34.0</v>
      </c>
      <c r="F51" s="1" t="s">
        <v>183</v>
      </c>
    </row>
    <row r="52">
      <c r="A52" s="1" t="s">
        <v>300</v>
      </c>
      <c r="B52" s="1" t="s">
        <v>302</v>
      </c>
      <c r="C52" s="1" t="s">
        <v>23</v>
      </c>
      <c r="D52" s="1" t="s">
        <v>129</v>
      </c>
      <c r="E52" s="5">
        <v>118.0</v>
      </c>
      <c r="F52" s="1" t="s">
        <v>140</v>
      </c>
    </row>
    <row r="53">
      <c r="A53" s="1" t="s">
        <v>304</v>
      </c>
      <c r="B53" s="1" t="s">
        <v>302</v>
      </c>
      <c r="C53" s="1" t="s">
        <v>23</v>
      </c>
      <c r="D53" s="1" t="s">
        <v>129</v>
      </c>
      <c r="E53" s="5">
        <v>50.0</v>
      </c>
      <c r="F53" s="1" t="s">
        <v>210</v>
      </c>
    </row>
    <row r="54">
      <c r="A54" s="1" t="s">
        <v>308</v>
      </c>
      <c r="B54" s="1" t="s">
        <v>302</v>
      </c>
      <c r="C54" s="1" t="s">
        <v>23</v>
      </c>
      <c r="D54" s="1" t="s">
        <v>129</v>
      </c>
      <c r="E54" s="5">
        <v>10.0</v>
      </c>
      <c r="F54" s="1" t="s">
        <v>141</v>
      </c>
    </row>
    <row r="55">
      <c r="A55" s="1" t="s">
        <v>310</v>
      </c>
      <c r="B55" s="1" t="s">
        <v>312</v>
      </c>
      <c r="C55" s="1" t="s">
        <v>64</v>
      </c>
      <c r="D55" s="1" t="s">
        <v>129</v>
      </c>
      <c r="E55" s="5">
        <v>196.0</v>
      </c>
      <c r="F55" s="1" t="s">
        <v>140</v>
      </c>
    </row>
    <row r="56">
      <c r="A56" s="1" t="s">
        <v>315</v>
      </c>
      <c r="B56" s="1" t="s">
        <v>317</v>
      </c>
      <c r="C56" s="1" t="s">
        <v>64</v>
      </c>
      <c r="D56" s="1" t="s">
        <v>129</v>
      </c>
      <c r="E56" s="5">
        <v>1.0</v>
      </c>
      <c r="F56" s="1" t="s">
        <v>228</v>
      </c>
    </row>
    <row r="57">
      <c r="A57" s="1" t="s">
        <v>321</v>
      </c>
      <c r="B57" s="1" t="s">
        <v>322</v>
      </c>
      <c r="C57" s="1" t="s">
        <v>64</v>
      </c>
      <c r="D57" s="1" t="s">
        <v>129</v>
      </c>
      <c r="E57" s="5">
        <v>2.0</v>
      </c>
      <c r="F57" s="1" t="s">
        <v>183</v>
      </c>
    </row>
    <row r="58">
      <c r="A58" s="1" t="s">
        <v>323</v>
      </c>
      <c r="B58" s="1" t="s">
        <v>325</v>
      </c>
      <c r="C58" s="1" t="s">
        <v>64</v>
      </c>
      <c r="D58" s="1" t="s">
        <v>129</v>
      </c>
      <c r="E58" s="5">
        <v>38.0</v>
      </c>
      <c r="F58" s="1" t="s">
        <v>140</v>
      </c>
    </row>
    <row r="59">
      <c r="A59" s="1" t="s">
        <v>331</v>
      </c>
      <c r="B59" s="1" t="s">
        <v>332</v>
      </c>
      <c r="C59" s="1" t="s">
        <v>64</v>
      </c>
      <c r="D59" s="1" t="s">
        <v>129</v>
      </c>
      <c r="E59" s="5">
        <v>3.0</v>
      </c>
      <c r="F59" s="1" t="s">
        <v>210</v>
      </c>
    </row>
    <row r="60">
      <c r="A60" s="1" t="s">
        <v>334</v>
      </c>
      <c r="B60" s="1" t="s">
        <v>335</v>
      </c>
      <c r="C60" s="1" t="s">
        <v>23</v>
      </c>
      <c r="D60" s="1" t="s">
        <v>25</v>
      </c>
      <c r="E60" s="5">
        <v>43.0</v>
      </c>
      <c r="F60" s="1" t="s">
        <v>35</v>
      </c>
    </row>
    <row r="61">
      <c r="A61" s="1" t="s">
        <v>342</v>
      </c>
      <c r="B61" s="1" t="s">
        <v>335</v>
      </c>
      <c r="C61" s="1" t="s">
        <v>23</v>
      </c>
      <c r="D61" s="1" t="s">
        <v>41</v>
      </c>
      <c r="E61" s="5">
        <v>1.0</v>
      </c>
      <c r="F61" s="1" t="s">
        <v>35</v>
      </c>
    </row>
    <row r="62">
      <c r="A62" s="1" t="s">
        <v>344</v>
      </c>
      <c r="B62" s="1" t="s">
        <v>335</v>
      </c>
      <c r="C62" s="1" t="s">
        <v>23</v>
      </c>
      <c r="D62" s="1" t="s">
        <v>73</v>
      </c>
      <c r="E62" s="5">
        <v>42.0</v>
      </c>
      <c r="F62" s="1" t="s">
        <v>35</v>
      </c>
    </row>
    <row r="63">
      <c r="A63" s="1" t="s">
        <v>350</v>
      </c>
      <c r="B63" s="1" t="s">
        <v>351</v>
      </c>
      <c r="C63" s="1" t="s">
        <v>23</v>
      </c>
      <c r="D63" s="1" t="s">
        <v>25</v>
      </c>
      <c r="E63" s="5">
        <v>43.0</v>
      </c>
      <c r="F63" s="1" t="s">
        <v>35</v>
      </c>
    </row>
    <row r="64">
      <c r="A64" s="1" t="s">
        <v>353</v>
      </c>
      <c r="B64" s="1" t="s">
        <v>351</v>
      </c>
      <c r="C64" s="1" t="s">
        <v>23</v>
      </c>
      <c r="D64" s="1" t="s">
        <v>41</v>
      </c>
      <c r="E64" s="5">
        <v>1.0</v>
      </c>
      <c r="F64" s="1" t="s">
        <v>35</v>
      </c>
    </row>
    <row r="65">
      <c r="A65" s="1" t="s">
        <v>358</v>
      </c>
      <c r="B65" s="1" t="s">
        <v>351</v>
      </c>
      <c r="C65" s="1" t="s">
        <v>23</v>
      </c>
      <c r="D65" s="1" t="s">
        <v>73</v>
      </c>
      <c r="E65" s="5">
        <v>42.0</v>
      </c>
      <c r="F65" s="1" t="s">
        <v>35</v>
      </c>
    </row>
    <row r="66">
      <c r="A66" s="1" t="s">
        <v>362</v>
      </c>
      <c r="B66" s="1" t="s">
        <v>363</v>
      </c>
      <c r="C66" s="1" t="s">
        <v>23</v>
      </c>
      <c r="D66" s="1" t="s">
        <v>25</v>
      </c>
      <c r="E66" s="5">
        <v>43.0</v>
      </c>
      <c r="F66" s="1" t="s">
        <v>35</v>
      </c>
    </row>
    <row r="67">
      <c r="A67" s="1" t="s">
        <v>365</v>
      </c>
      <c r="B67" s="1" t="s">
        <v>363</v>
      </c>
      <c r="C67" s="1" t="s">
        <v>23</v>
      </c>
      <c r="D67" s="1" t="s">
        <v>41</v>
      </c>
      <c r="E67" s="5">
        <v>1.0</v>
      </c>
      <c r="F67" s="1" t="s">
        <v>35</v>
      </c>
    </row>
    <row r="68">
      <c r="A68" s="1" t="s">
        <v>370</v>
      </c>
      <c r="B68" s="1" t="s">
        <v>363</v>
      </c>
      <c r="C68" s="1" t="s">
        <v>23</v>
      </c>
      <c r="D68" s="1" t="s">
        <v>73</v>
      </c>
      <c r="E68" s="5">
        <v>42.0</v>
      </c>
      <c r="F68" s="1" t="s">
        <v>35</v>
      </c>
    </row>
    <row r="69">
      <c r="A69" s="1" t="s">
        <v>373</v>
      </c>
      <c r="B69" s="1" t="s">
        <v>375</v>
      </c>
      <c r="C69" s="1" t="s">
        <v>23</v>
      </c>
      <c r="D69" s="1" t="s">
        <v>25</v>
      </c>
      <c r="E69" s="5">
        <v>2.0</v>
      </c>
      <c r="F69" s="1" t="s">
        <v>54</v>
      </c>
    </row>
    <row r="70">
      <c r="A70" s="1" t="s">
        <v>379</v>
      </c>
      <c r="B70" s="1" t="s">
        <v>375</v>
      </c>
      <c r="C70" s="1" t="s">
        <v>23</v>
      </c>
      <c r="D70" s="1" t="s">
        <v>58</v>
      </c>
      <c r="E70" s="5">
        <v>1.0</v>
      </c>
      <c r="F70" s="1" t="s">
        <v>54</v>
      </c>
    </row>
    <row r="71">
      <c r="A71" s="1" t="s">
        <v>383</v>
      </c>
      <c r="B71" s="1" t="s">
        <v>375</v>
      </c>
      <c r="C71" s="1" t="s">
        <v>23</v>
      </c>
      <c r="D71" s="1" t="s">
        <v>41</v>
      </c>
      <c r="E71" s="5">
        <v>2.0</v>
      </c>
      <c r="F71" s="1" t="s">
        <v>54</v>
      </c>
    </row>
    <row r="72">
      <c r="A72" s="1" t="s">
        <v>387</v>
      </c>
      <c r="B72" s="1" t="s">
        <v>375</v>
      </c>
      <c r="C72" s="1" t="s">
        <v>23</v>
      </c>
      <c r="D72" s="1" t="s">
        <v>73</v>
      </c>
      <c r="E72" s="5">
        <v>2.0</v>
      </c>
      <c r="F72" s="1" t="s">
        <v>54</v>
      </c>
    </row>
    <row r="73">
      <c r="A73" s="1" t="s">
        <v>391</v>
      </c>
      <c r="B73" s="1" t="s">
        <v>393</v>
      </c>
      <c r="C73" s="1" t="s">
        <v>23</v>
      </c>
      <c r="D73" s="1" t="s">
        <v>25</v>
      </c>
      <c r="E73" s="5">
        <v>2.0</v>
      </c>
      <c r="F73" s="1" t="s">
        <v>54</v>
      </c>
    </row>
    <row r="74">
      <c r="A74" s="1" t="s">
        <v>397</v>
      </c>
      <c r="B74" s="1" t="s">
        <v>393</v>
      </c>
      <c r="C74" s="1" t="s">
        <v>23</v>
      </c>
      <c r="D74" s="1" t="s">
        <v>58</v>
      </c>
      <c r="E74" s="5">
        <v>1.0</v>
      </c>
      <c r="F74" s="1" t="s">
        <v>54</v>
      </c>
    </row>
    <row r="75">
      <c r="A75" s="1" t="s">
        <v>402</v>
      </c>
      <c r="B75" s="1" t="s">
        <v>393</v>
      </c>
      <c r="C75" s="1" t="s">
        <v>23</v>
      </c>
      <c r="D75" s="1" t="s">
        <v>41</v>
      </c>
      <c r="E75" s="5">
        <v>2.0</v>
      </c>
      <c r="F75" s="1" t="s">
        <v>54</v>
      </c>
    </row>
    <row r="76">
      <c r="A76" s="1" t="s">
        <v>406</v>
      </c>
      <c r="B76" s="1" t="s">
        <v>393</v>
      </c>
      <c r="C76" s="1" t="s">
        <v>23</v>
      </c>
      <c r="D76" s="1" t="s">
        <v>73</v>
      </c>
      <c r="E76" s="5">
        <v>2.0</v>
      </c>
      <c r="F76" s="1" t="s">
        <v>54</v>
      </c>
    </row>
    <row r="77">
      <c r="A77" s="1" t="s">
        <v>411</v>
      </c>
      <c r="B77" s="1" t="s">
        <v>413</v>
      </c>
      <c r="C77" s="1" t="s">
        <v>23</v>
      </c>
      <c r="D77" s="1" t="s">
        <v>25</v>
      </c>
      <c r="E77" s="5">
        <v>2.0</v>
      </c>
      <c r="F77" s="1" t="s">
        <v>54</v>
      </c>
    </row>
    <row r="78">
      <c r="A78" s="1" t="s">
        <v>419</v>
      </c>
      <c r="B78" s="1" t="s">
        <v>413</v>
      </c>
      <c r="C78" s="1" t="s">
        <v>23</v>
      </c>
      <c r="D78" s="1" t="s">
        <v>58</v>
      </c>
      <c r="E78" s="5">
        <v>1.0</v>
      </c>
      <c r="F78" s="1" t="s">
        <v>54</v>
      </c>
    </row>
    <row r="79">
      <c r="A79" s="1" t="s">
        <v>422</v>
      </c>
      <c r="B79" s="1" t="s">
        <v>413</v>
      </c>
      <c r="C79" s="1" t="s">
        <v>23</v>
      </c>
      <c r="D79" s="1" t="s">
        <v>41</v>
      </c>
      <c r="E79" s="5">
        <v>2.0</v>
      </c>
      <c r="F79" s="1" t="s">
        <v>54</v>
      </c>
    </row>
    <row r="80">
      <c r="A80" s="1" t="s">
        <v>429</v>
      </c>
      <c r="B80" s="1" t="s">
        <v>413</v>
      </c>
      <c r="C80" s="1" t="s">
        <v>23</v>
      </c>
      <c r="D80" s="1" t="s">
        <v>73</v>
      </c>
      <c r="E80" s="5">
        <v>2.0</v>
      </c>
      <c r="F80" s="1" t="s">
        <v>54</v>
      </c>
    </row>
    <row r="81">
      <c r="A81" s="1" t="s">
        <v>431</v>
      </c>
      <c r="B81" s="1" t="s">
        <v>413</v>
      </c>
      <c r="C81" s="1" t="s">
        <v>23</v>
      </c>
      <c r="D81" s="1" t="s">
        <v>25</v>
      </c>
      <c r="E81" s="5">
        <v>2.0</v>
      </c>
      <c r="F81" s="1" t="s">
        <v>54</v>
      </c>
    </row>
    <row r="82">
      <c r="A82" s="1" t="s">
        <v>435</v>
      </c>
      <c r="B82" s="1" t="s">
        <v>413</v>
      </c>
      <c r="C82" s="1" t="s">
        <v>23</v>
      </c>
      <c r="D82" s="1" t="s">
        <v>58</v>
      </c>
      <c r="E82" s="5">
        <v>1.0</v>
      </c>
      <c r="F82" s="1" t="s">
        <v>54</v>
      </c>
    </row>
    <row r="83">
      <c r="A83" s="1" t="s">
        <v>438</v>
      </c>
      <c r="B83" s="1" t="s">
        <v>413</v>
      </c>
      <c r="C83" s="1" t="s">
        <v>23</v>
      </c>
      <c r="D83" s="1" t="s">
        <v>41</v>
      </c>
      <c r="E83" s="5">
        <v>2.0</v>
      </c>
      <c r="F83" s="1" t="s">
        <v>54</v>
      </c>
    </row>
    <row r="84">
      <c r="A84" s="1" t="s">
        <v>441</v>
      </c>
      <c r="B84" s="1" t="s">
        <v>413</v>
      </c>
      <c r="C84" s="1" t="s">
        <v>23</v>
      </c>
      <c r="D84" s="1" t="s">
        <v>73</v>
      </c>
      <c r="E84" s="5">
        <v>2.0</v>
      </c>
      <c r="F84" s="1" t="s">
        <v>54</v>
      </c>
    </row>
    <row r="85">
      <c r="A85" s="1" t="s">
        <v>446</v>
      </c>
      <c r="B85" s="1" t="s">
        <v>449</v>
      </c>
      <c r="C85" s="1" t="s">
        <v>23</v>
      </c>
      <c r="D85" s="1" t="s">
        <v>58</v>
      </c>
      <c r="E85" s="5">
        <v>3.0</v>
      </c>
      <c r="F85" s="1" t="s">
        <v>106</v>
      </c>
    </row>
    <row r="86">
      <c r="A86" s="1" t="s">
        <v>450</v>
      </c>
      <c r="B86" s="1" t="s">
        <v>449</v>
      </c>
      <c r="C86" s="1" t="s">
        <v>23</v>
      </c>
      <c r="D86" s="1" t="s">
        <v>73</v>
      </c>
      <c r="E86" s="5">
        <v>3.0</v>
      </c>
      <c r="F86" s="1" t="s">
        <v>106</v>
      </c>
    </row>
    <row r="87">
      <c r="A87" s="1" t="s">
        <v>455</v>
      </c>
      <c r="B87" s="1" t="s">
        <v>456</v>
      </c>
      <c r="C87" s="1" t="s">
        <v>23</v>
      </c>
      <c r="D87" s="1" t="s">
        <v>25</v>
      </c>
      <c r="E87" s="5">
        <v>4.0</v>
      </c>
      <c r="F87" s="1" t="s">
        <v>119</v>
      </c>
    </row>
    <row r="88">
      <c r="A88" s="1" t="s">
        <v>458</v>
      </c>
      <c r="B88" s="1" t="s">
        <v>456</v>
      </c>
      <c r="C88" s="1" t="s">
        <v>23</v>
      </c>
      <c r="D88" s="1" t="s">
        <v>126</v>
      </c>
      <c r="E88" s="5">
        <v>5.0</v>
      </c>
      <c r="F88" s="1" t="s">
        <v>119</v>
      </c>
    </row>
    <row r="89">
      <c r="A89" s="1" t="s">
        <v>463</v>
      </c>
      <c r="B89" s="1" t="s">
        <v>464</v>
      </c>
      <c r="C89" s="1" t="s">
        <v>23</v>
      </c>
      <c r="D89" s="1" t="s">
        <v>126</v>
      </c>
      <c r="E89" s="5">
        <v>2.0</v>
      </c>
      <c r="F89" s="1" t="s">
        <v>141</v>
      </c>
    </row>
    <row r="90">
      <c r="A90" s="1" t="s">
        <v>466</v>
      </c>
      <c r="B90" s="1" t="s">
        <v>464</v>
      </c>
      <c r="C90" s="1" t="s">
        <v>23</v>
      </c>
      <c r="D90" s="1" t="s">
        <v>127</v>
      </c>
      <c r="E90" s="5">
        <v>2.0</v>
      </c>
      <c r="F90" s="1" t="s">
        <v>141</v>
      </c>
    </row>
    <row r="91">
      <c r="A91" s="1" t="s">
        <v>470</v>
      </c>
      <c r="B91" s="1" t="s">
        <v>472</v>
      </c>
      <c r="C91" s="1" t="s">
        <v>23</v>
      </c>
      <c r="D91" s="1" t="s">
        <v>25</v>
      </c>
      <c r="E91" s="5">
        <v>2.0</v>
      </c>
      <c r="F91" s="1" t="s">
        <v>163</v>
      </c>
    </row>
    <row r="92">
      <c r="A92" s="1" t="s">
        <v>474</v>
      </c>
      <c r="B92" s="1" t="s">
        <v>472</v>
      </c>
      <c r="C92" s="1" t="s">
        <v>23</v>
      </c>
      <c r="D92" s="1" t="s">
        <v>126</v>
      </c>
      <c r="E92" s="5">
        <v>2.0</v>
      </c>
      <c r="F92" s="1" t="s">
        <v>163</v>
      </c>
    </row>
    <row r="93">
      <c r="A93" s="1" t="s">
        <v>477</v>
      </c>
      <c r="B93" s="1" t="s">
        <v>480</v>
      </c>
      <c r="C93" s="1" t="s">
        <v>23</v>
      </c>
      <c r="D93" s="1" t="s">
        <v>25</v>
      </c>
      <c r="E93" s="5">
        <v>2.0</v>
      </c>
      <c r="F93" s="1" t="s">
        <v>82</v>
      </c>
    </row>
    <row r="94">
      <c r="A94" s="1" t="s">
        <v>483</v>
      </c>
      <c r="B94" s="1" t="s">
        <v>480</v>
      </c>
      <c r="C94" s="1" t="s">
        <v>23</v>
      </c>
      <c r="D94" s="1" t="s">
        <v>41</v>
      </c>
      <c r="E94" s="5">
        <v>4.0</v>
      </c>
      <c r="F94" s="1" t="s">
        <v>82</v>
      </c>
    </row>
    <row r="95">
      <c r="A95" s="1" t="s">
        <v>487</v>
      </c>
      <c r="B95" s="1" t="s">
        <v>480</v>
      </c>
      <c r="C95" s="1" t="s">
        <v>23</v>
      </c>
      <c r="D95" s="1" t="s">
        <v>126</v>
      </c>
      <c r="E95" s="5">
        <v>1.0</v>
      </c>
      <c r="F95" s="1" t="s">
        <v>82</v>
      </c>
    </row>
    <row r="96">
      <c r="A96" s="1" t="s">
        <v>490</v>
      </c>
      <c r="B96" s="1" t="s">
        <v>491</v>
      </c>
      <c r="C96" s="1" t="s">
        <v>23</v>
      </c>
      <c r="D96" s="1" t="s">
        <v>25</v>
      </c>
      <c r="E96" s="5">
        <v>2.0</v>
      </c>
      <c r="F96" s="1" t="s">
        <v>183</v>
      </c>
    </row>
    <row r="97">
      <c r="A97" s="1" t="s">
        <v>495</v>
      </c>
      <c r="B97" s="1" t="s">
        <v>491</v>
      </c>
      <c r="C97" s="1" t="s">
        <v>23</v>
      </c>
      <c r="D97" s="1" t="s">
        <v>41</v>
      </c>
      <c r="E97" s="5">
        <v>1.0</v>
      </c>
      <c r="F97" s="1" t="s">
        <v>183</v>
      </c>
    </row>
    <row r="98">
      <c r="A98" s="1" t="s">
        <v>497</v>
      </c>
      <c r="B98" s="1" t="s">
        <v>491</v>
      </c>
      <c r="C98" s="1" t="s">
        <v>23</v>
      </c>
      <c r="D98" s="1" t="s">
        <v>73</v>
      </c>
      <c r="E98" s="5">
        <v>1.0</v>
      </c>
      <c r="F98" s="1" t="s">
        <v>183</v>
      </c>
    </row>
    <row r="99">
      <c r="A99" s="1" t="s">
        <v>502</v>
      </c>
      <c r="B99" s="1" t="s">
        <v>491</v>
      </c>
      <c r="C99" s="1" t="s">
        <v>23</v>
      </c>
      <c r="D99" s="1" t="s">
        <v>126</v>
      </c>
      <c r="E99" s="5">
        <v>1.0</v>
      </c>
      <c r="F99" s="1" t="s">
        <v>183</v>
      </c>
    </row>
    <row r="100">
      <c r="A100" s="1" t="s">
        <v>503</v>
      </c>
      <c r="B100" s="1" t="s">
        <v>491</v>
      </c>
      <c r="C100" s="1" t="s">
        <v>23</v>
      </c>
      <c r="D100" s="1" t="s">
        <v>139</v>
      </c>
      <c r="E100" s="5">
        <v>1.0</v>
      </c>
      <c r="F100" s="1" t="s">
        <v>183</v>
      </c>
    </row>
    <row r="101">
      <c r="A101" s="1" t="s">
        <v>505</v>
      </c>
      <c r="B101" s="1" t="s">
        <v>506</v>
      </c>
      <c r="C101" s="1" t="s">
        <v>23</v>
      </c>
      <c r="D101" s="1" t="s">
        <v>25</v>
      </c>
      <c r="E101" s="5">
        <v>3.0</v>
      </c>
      <c r="F101" s="1" t="s">
        <v>140</v>
      </c>
    </row>
    <row r="102">
      <c r="A102" s="1" t="s">
        <v>507</v>
      </c>
      <c r="B102" s="1" t="s">
        <v>506</v>
      </c>
      <c r="C102" s="1" t="s">
        <v>23</v>
      </c>
      <c r="D102" s="1" t="s">
        <v>41</v>
      </c>
      <c r="E102" s="5">
        <v>6.0</v>
      </c>
      <c r="F102" s="1" t="s">
        <v>140</v>
      </c>
    </row>
    <row r="103">
      <c r="A103" s="1" t="s">
        <v>512</v>
      </c>
      <c r="B103" s="1" t="s">
        <v>506</v>
      </c>
      <c r="C103" s="1" t="s">
        <v>23</v>
      </c>
      <c r="D103" s="1" t="s">
        <v>73</v>
      </c>
      <c r="E103" s="5">
        <v>2.0</v>
      </c>
      <c r="F103" s="1" t="s">
        <v>140</v>
      </c>
    </row>
    <row r="104">
      <c r="A104" s="1" t="s">
        <v>515</v>
      </c>
      <c r="B104" s="1" t="s">
        <v>506</v>
      </c>
      <c r="C104" s="1" t="s">
        <v>23</v>
      </c>
      <c r="D104" s="1" t="s">
        <v>126</v>
      </c>
      <c r="E104" s="5">
        <v>2.0</v>
      </c>
      <c r="F104" s="1" t="s">
        <v>140</v>
      </c>
    </row>
    <row r="105">
      <c r="A105" s="1" t="s">
        <v>518</v>
      </c>
      <c r="B105" s="1" t="s">
        <v>506</v>
      </c>
      <c r="C105" s="1" t="s">
        <v>23</v>
      </c>
      <c r="D105" s="1" t="s">
        <v>127</v>
      </c>
      <c r="E105" s="5">
        <v>5.0</v>
      </c>
      <c r="F105" s="1" t="s">
        <v>140</v>
      </c>
    </row>
    <row r="106">
      <c r="A106" s="1" t="s">
        <v>523</v>
      </c>
      <c r="B106" s="1" t="s">
        <v>506</v>
      </c>
      <c r="C106" s="1" t="s">
        <v>23</v>
      </c>
      <c r="D106" s="1" t="s">
        <v>139</v>
      </c>
      <c r="E106" s="5">
        <v>5.0</v>
      </c>
      <c r="F106" s="1" t="s">
        <v>140</v>
      </c>
    </row>
    <row r="107">
      <c r="A107" s="1" t="s">
        <v>527</v>
      </c>
      <c r="B107" s="1" t="s">
        <v>528</v>
      </c>
      <c r="C107" s="1" t="s">
        <v>23</v>
      </c>
      <c r="D107" s="1" t="s">
        <v>58</v>
      </c>
      <c r="E107" s="5">
        <v>1.0</v>
      </c>
      <c r="F107" s="1" t="s">
        <v>140</v>
      </c>
    </row>
    <row r="108">
      <c r="A108" s="1" t="s">
        <v>532</v>
      </c>
      <c r="B108" s="1" t="s">
        <v>528</v>
      </c>
      <c r="C108" s="1" t="s">
        <v>23</v>
      </c>
      <c r="D108" s="1" t="s">
        <v>126</v>
      </c>
      <c r="E108" s="5">
        <v>1.0</v>
      </c>
      <c r="F108" s="1" t="s">
        <v>140</v>
      </c>
    </row>
    <row r="109">
      <c r="A109" s="1" t="s">
        <v>536</v>
      </c>
      <c r="B109" s="1" t="s">
        <v>537</v>
      </c>
      <c r="C109" s="1" t="s">
        <v>23</v>
      </c>
      <c r="D109" s="1" t="s">
        <v>58</v>
      </c>
      <c r="E109" s="5">
        <v>1.0</v>
      </c>
      <c r="F109" s="1" t="s">
        <v>210</v>
      </c>
    </row>
    <row r="110">
      <c r="A110" s="1" t="s">
        <v>540</v>
      </c>
      <c r="B110" s="1" t="s">
        <v>537</v>
      </c>
      <c r="C110" s="1" t="s">
        <v>23</v>
      </c>
      <c r="D110" s="1" t="s">
        <v>73</v>
      </c>
      <c r="E110" s="5">
        <v>2.0</v>
      </c>
      <c r="F110" s="1" t="s">
        <v>210</v>
      </c>
    </row>
    <row r="111">
      <c r="A111" s="1" t="s">
        <v>544</v>
      </c>
      <c r="B111" s="1" t="s">
        <v>537</v>
      </c>
      <c r="C111" s="1" t="s">
        <v>23</v>
      </c>
      <c r="D111" s="1" t="s">
        <v>127</v>
      </c>
      <c r="E111" s="5">
        <v>2.0</v>
      </c>
      <c r="F111" s="1" t="s">
        <v>210</v>
      </c>
    </row>
    <row r="112">
      <c r="A112" s="1" t="s">
        <v>548</v>
      </c>
      <c r="B112" s="1" t="s">
        <v>537</v>
      </c>
      <c r="C112" s="1" t="s">
        <v>23</v>
      </c>
      <c r="D112" s="1" t="s">
        <v>25</v>
      </c>
      <c r="E112" s="5">
        <v>1.0</v>
      </c>
      <c r="F112" s="1" t="s">
        <v>400</v>
      </c>
    </row>
    <row r="113">
      <c r="A113" s="1" t="s">
        <v>552</v>
      </c>
      <c r="B113" s="1" t="s">
        <v>537</v>
      </c>
      <c r="C113" s="1" t="s">
        <v>23</v>
      </c>
      <c r="D113" s="1" t="s">
        <v>41</v>
      </c>
      <c r="E113" s="5">
        <v>1.0</v>
      </c>
      <c r="F113" s="1" t="s">
        <v>400</v>
      </c>
    </row>
    <row r="114">
      <c r="A114" s="1" t="s">
        <v>555</v>
      </c>
      <c r="B114" s="1" t="s">
        <v>558</v>
      </c>
      <c r="C114" s="1" t="s">
        <v>23</v>
      </c>
      <c r="D114" s="1" t="s">
        <v>25</v>
      </c>
      <c r="E114" s="5">
        <v>58.0</v>
      </c>
      <c r="F114" s="1" t="s">
        <v>68</v>
      </c>
    </row>
    <row r="115">
      <c r="A115" s="1" t="s">
        <v>560</v>
      </c>
      <c r="B115" s="1" t="s">
        <v>558</v>
      </c>
      <c r="C115" s="1" t="s">
        <v>23</v>
      </c>
      <c r="D115" s="1" t="s">
        <v>126</v>
      </c>
      <c r="E115" s="5">
        <v>59.0</v>
      </c>
      <c r="F115" s="1" t="s">
        <v>68</v>
      </c>
    </row>
    <row r="116">
      <c r="A116" s="1" t="s">
        <v>565</v>
      </c>
      <c r="B116" s="1" t="s">
        <v>558</v>
      </c>
      <c r="C116" s="1" t="s">
        <v>23</v>
      </c>
      <c r="D116" s="1" t="s">
        <v>125</v>
      </c>
      <c r="E116" s="5">
        <v>58.0</v>
      </c>
      <c r="F116" s="1" t="s">
        <v>68</v>
      </c>
    </row>
    <row r="117">
      <c r="A117" s="1" t="s">
        <v>566</v>
      </c>
      <c r="B117" s="1" t="s">
        <v>567</v>
      </c>
      <c r="C117" s="1" t="s">
        <v>23</v>
      </c>
      <c r="D117" s="1" t="s">
        <v>25</v>
      </c>
      <c r="E117" s="5">
        <v>4.0</v>
      </c>
      <c r="F117" s="1" t="s">
        <v>247</v>
      </c>
    </row>
    <row r="118">
      <c r="A118" s="1" t="s">
        <v>571</v>
      </c>
      <c r="B118" s="1" t="s">
        <v>567</v>
      </c>
      <c r="C118" s="1" t="s">
        <v>23</v>
      </c>
      <c r="D118" s="1" t="s">
        <v>133</v>
      </c>
      <c r="E118" s="5">
        <v>15.0</v>
      </c>
      <c r="F118" s="1" t="s">
        <v>247</v>
      </c>
    </row>
    <row r="119">
      <c r="A119" s="1" t="s">
        <v>574</v>
      </c>
      <c r="B119" s="1" t="s">
        <v>575</v>
      </c>
      <c r="C119" s="1" t="s">
        <v>23</v>
      </c>
      <c r="D119" s="1" t="s">
        <v>25</v>
      </c>
      <c r="E119" s="5">
        <v>1.0</v>
      </c>
      <c r="F119" s="1" t="s">
        <v>366</v>
      </c>
    </row>
    <row r="120">
      <c r="A120" s="1" t="s">
        <v>579</v>
      </c>
      <c r="B120" s="1" t="s">
        <v>575</v>
      </c>
      <c r="C120" s="1" t="s">
        <v>23</v>
      </c>
      <c r="D120" s="1" t="s">
        <v>41</v>
      </c>
      <c r="E120" s="5">
        <v>2.0</v>
      </c>
      <c r="F120" s="1" t="s">
        <v>366</v>
      </c>
    </row>
    <row r="121">
      <c r="A121" s="1" t="s">
        <v>582</v>
      </c>
      <c r="B121" s="1" t="s">
        <v>584</v>
      </c>
      <c r="C121" s="1" t="s">
        <v>23</v>
      </c>
      <c r="D121" s="1" t="s">
        <v>25</v>
      </c>
      <c r="E121" s="5">
        <v>6.0</v>
      </c>
      <c r="F121" s="1" t="s">
        <v>32</v>
      </c>
    </row>
    <row r="122">
      <c r="A122" s="1" t="s">
        <v>587</v>
      </c>
      <c r="B122" s="1" t="s">
        <v>584</v>
      </c>
      <c r="C122" s="1" t="s">
        <v>23</v>
      </c>
      <c r="D122" s="1" t="s">
        <v>41</v>
      </c>
      <c r="E122" s="5">
        <v>8.0</v>
      </c>
      <c r="F122" s="1" t="s">
        <v>32</v>
      </c>
    </row>
    <row r="123">
      <c r="A123" s="1" t="s">
        <v>590</v>
      </c>
      <c r="B123" s="1" t="s">
        <v>584</v>
      </c>
      <c r="C123" s="1" t="s">
        <v>23</v>
      </c>
      <c r="D123" s="1" t="s">
        <v>73</v>
      </c>
      <c r="E123" s="5">
        <v>2.0</v>
      </c>
      <c r="F123" s="1" t="s">
        <v>32</v>
      </c>
    </row>
    <row r="124">
      <c r="A124" s="1" t="s">
        <v>594</v>
      </c>
      <c r="B124" s="1" t="s">
        <v>584</v>
      </c>
      <c r="C124" s="1" t="s">
        <v>23</v>
      </c>
      <c r="D124" s="1" t="s">
        <v>126</v>
      </c>
      <c r="E124" s="5">
        <v>1.0</v>
      </c>
      <c r="F124" s="1" t="s">
        <v>32</v>
      </c>
    </row>
    <row r="125">
      <c r="A125" s="1" t="s">
        <v>596</v>
      </c>
      <c r="B125" s="1" t="s">
        <v>598</v>
      </c>
      <c r="C125" s="1" t="s">
        <v>23</v>
      </c>
      <c r="D125" s="1" t="s">
        <v>25</v>
      </c>
      <c r="E125" s="5">
        <v>17.0</v>
      </c>
      <c r="F125" s="1" t="s">
        <v>53</v>
      </c>
    </row>
    <row r="126">
      <c r="A126" s="1" t="s">
        <v>601</v>
      </c>
      <c r="B126" s="1" t="s">
        <v>598</v>
      </c>
      <c r="C126" s="1" t="s">
        <v>23</v>
      </c>
      <c r="D126" s="1" t="s">
        <v>41</v>
      </c>
      <c r="E126" s="5">
        <v>3.0</v>
      </c>
      <c r="F126" s="1" t="s">
        <v>53</v>
      </c>
    </row>
    <row r="127">
      <c r="A127" s="1" t="s">
        <v>605</v>
      </c>
      <c r="B127" s="1" t="s">
        <v>598</v>
      </c>
      <c r="C127" s="1" t="s">
        <v>23</v>
      </c>
      <c r="D127" s="1" t="s">
        <v>126</v>
      </c>
      <c r="E127" s="5">
        <v>14.0</v>
      </c>
      <c r="F127" s="1" t="s">
        <v>53</v>
      </c>
    </row>
    <row r="128">
      <c r="A128" s="1" t="s">
        <v>609</v>
      </c>
      <c r="B128" s="1" t="s">
        <v>610</v>
      </c>
      <c r="C128" s="1" t="s">
        <v>23</v>
      </c>
      <c r="D128" s="1" t="s">
        <v>73</v>
      </c>
      <c r="E128" s="5">
        <v>1.0</v>
      </c>
      <c r="F128" s="1" t="s">
        <v>414</v>
      </c>
    </row>
    <row r="129">
      <c r="A129" s="1" t="s">
        <v>613</v>
      </c>
      <c r="B129" s="1" t="s">
        <v>614</v>
      </c>
      <c r="C129" s="1" t="s">
        <v>23</v>
      </c>
      <c r="D129" s="1" t="s">
        <v>73</v>
      </c>
      <c r="E129" s="5">
        <v>1.0</v>
      </c>
      <c r="F129" s="1" t="s">
        <v>414</v>
      </c>
    </row>
    <row r="130">
      <c r="A130" s="1" t="s">
        <v>617</v>
      </c>
      <c r="B130" s="1" t="s">
        <v>619</v>
      </c>
      <c r="C130" s="1" t="s">
        <v>23</v>
      </c>
      <c r="D130" s="1" t="s">
        <v>25</v>
      </c>
      <c r="E130" s="5">
        <v>3.0</v>
      </c>
      <c r="F130" s="1" t="s">
        <v>424</v>
      </c>
    </row>
    <row r="131">
      <c r="A131" s="1" t="s">
        <v>621</v>
      </c>
      <c r="B131" s="1" t="s">
        <v>619</v>
      </c>
      <c r="C131" s="1" t="s">
        <v>23</v>
      </c>
      <c r="D131" s="1" t="s">
        <v>73</v>
      </c>
      <c r="E131" s="5">
        <v>3.0</v>
      </c>
      <c r="F131" s="1" t="s">
        <v>424</v>
      </c>
    </row>
    <row r="132">
      <c r="A132" s="1" t="s">
        <v>625</v>
      </c>
      <c r="B132" s="1" t="s">
        <v>619</v>
      </c>
      <c r="C132" s="1" t="s">
        <v>23</v>
      </c>
      <c r="D132" s="1" t="s">
        <v>126</v>
      </c>
      <c r="E132" s="5">
        <v>1.0</v>
      </c>
      <c r="F132" s="1" t="s">
        <v>424</v>
      </c>
    </row>
    <row r="133">
      <c r="A133" s="1" t="s">
        <v>629</v>
      </c>
      <c r="B133" s="1" t="s">
        <v>631</v>
      </c>
      <c r="C133" s="1" t="s">
        <v>23</v>
      </c>
      <c r="D133" s="1" t="s">
        <v>25</v>
      </c>
      <c r="E133" s="5">
        <v>1.0</v>
      </c>
      <c r="F133" s="1" t="s">
        <v>263</v>
      </c>
    </row>
    <row r="134">
      <c r="A134" s="1" t="s">
        <v>634</v>
      </c>
      <c r="B134" s="1" t="s">
        <v>631</v>
      </c>
      <c r="C134" s="1" t="s">
        <v>23</v>
      </c>
      <c r="D134" s="1" t="s">
        <v>41</v>
      </c>
      <c r="E134" s="5">
        <v>1.0</v>
      </c>
      <c r="F134" s="1" t="s">
        <v>263</v>
      </c>
    </row>
    <row r="135">
      <c r="A135" s="1" t="s">
        <v>639</v>
      </c>
      <c r="B135" s="1" t="s">
        <v>631</v>
      </c>
      <c r="C135" s="1" t="s">
        <v>23</v>
      </c>
      <c r="D135" s="1" t="s">
        <v>73</v>
      </c>
      <c r="E135" s="5">
        <v>1.0</v>
      </c>
      <c r="F135" s="1" t="s">
        <v>263</v>
      </c>
    </row>
    <row r="136">
      <c r="A136" s="1" t="s">
        <v>641</v>
      </c>
      <c r="B136" s="1" t="s">
        <v>631</v>
      </c>
      <c r="C136" s="1" t="s">
        <v>23</v>
      </c>
      <c r="D136" s="1" t="s">
        <v>133</v>
      </c>
      <c r="E136" s="5">
        <v>1.0</v>
      </c>
      <c r="F136" s="1" t="s">
        <v>263</v>
      </c>
    </row>
    <row r="137">
      <c r="A137" s="1" t="s">
        <v>644</v>
      </c>
      <c r="B137" s="1" t="s">
        <v>631</v>
      </c>
      <c r="C137" s="1" t="s">
        <v>23</v>
      </c>
      <c r="D137" s="1" t="s">
        <v>127</v>
      </c>
      <c r="E137" s="5">
        <v>1.0</v>
      </c>
      <c r="F137" s="1" t="s">
        <v>263</v>
      </c>
    </row>
    <row r="138">
      <c r="A138" s="1" t="s">
        <v>648</v>
      </c>
      <c r="B138" s="1" t="s">
        <v>649</v>
      </c>
      <c r="C138" s="1" t="s">
        <v>23</v>
      </c>
      <c r="D138" s="1" t="s">
        <v>133</v>
      </c>
      <c r="E138" s="5">
        <v>2.0</v>
      </c>
      <c r="F138" s="1" t="s">
        <v>227</v>
      </c>
    </row>
    <row r="139">
      <c r="A139" s="1" t="s">
        <v>652</v>
      </c>
      <c r="B139" s="1" t="s">
        <v>653</v>
      </c>
      <c r="C139" s="1" t="s">
        <v>23</v>
      </c>
      <c r="D139" s="1" t="s">
        <v>129</v>
      </c>
      <c r="E139" s="5">
        <v>58.0</v>
      </c>
      <c r="F139" s="1" t="s">
        <v>210</v>
      </c>
    </row>
    <row r="140">
      <c r="A140" s="1" t="s">
        <v>654</v>
      </c>
      <c r="B140" s="1" t="s">
        <v>655</v>
      </c>
      <c r="C140" s="1" t="s">
        <v>23</v>
      </c>
      <c r="D140" s="1" t="s">
        <v>129</v>
      </c>
      <c r="E140" s="5">
        <v>40.0</v>
      </c>
      <c r="F140" s="1" t="s">
        <v>183</v>
      </c>
    </row>
    <row r="141">
      <c r="A141" s="1" t="s">
        <v>658</v>
      </c>
      <c r="B141" s="1" t="s">
        <v>655</v>
      </c>
      <c r="C141" s="1" t="s">
        <v>23</v>
      </c>
      <c r="D141" s="1" t="s">
        <v>129</v>
      </c>
      <c r="E141" s="5">
        <v>37.0</v>
      </c>
      <c r="F141" s="1" t="s">
        <v>141</v>
      </c>
    </row>
    <row r="142">
      <c r="A142" s="1" t="s">
        <v>661</v>
      </c>
      <c r="B142" s="1" t="s">
        <v>662</v>
      </c>
      <c r="C142" s="1" t="s">
        <v>23</v>
      </c>
      <c r="D142" s="1" t="s">
        <v>129</v>
      </c>
      <c r="E142" s="5">
        <v>143.0</v>
      </c>
      <c r="F142" s="1" t="s">
        <v>140</v>
      </c>
    </row>
    <row r="143">
      <c r="A143" s="1" t="s">
        <v>665</v>
      </c>
      <c r="B143" s="1" t="s">
        <v>666</v>
      </c>
      <c r="C143" s="1" t="s">
        <v>23</v>
      </c>
      <c r="D143" s="1" t="s">
        <v>129</v>
      </c>
      <c r="E143" s="5">
        <v>7.0</v>
      </c>
      <c r="F143" s="1" t="s">
        <v>228</v>
      </c>
    </row>
    <row r="144">
      <c r="A144" s="1" t="s">
        <v>668</v>
      </c>
      <c r="B144" s="1" t="s">
        <v>669</v>
      </c>
      <c r="C144" s="1" t="s">
        <v>64</v>
      </c>
      <c r="D144" s="1" t="s">
        <v>129</v>
      </c>
      <c r="E144" s="5">
        <v>19.0</v>
      </c>
      <c r="F144" s="1" t="s">
        <v>141</v>
      </c>
    </row>
    <row r="145">
      <c r="A145" s="1" t="s">
        <v>673</v>
      </c>
      <c r="B145" s="1" t="s">
        <v>674</v>
      </c>
      <c r="C145" s="1" t="s">
        <v>64</v>
      </c>
      <c r="D145" s="1" t="s">
        <v>129</v>
      </c>
      <c r="E145" s="5">
        <v>2.0</v>
      </c>
      <c r="F145" s="1" t="s">
        <v>210</v>
      </c>
    </row>
    <row r="146">
      <c r="A146" s="1" t="s">
        <v>675</v>
      </c>
      <c r="B146" s="1" t="s">
        <v>674</v>
      </c>
      <c r="C146" s="1" t="s">
        <v>64</v>
      </c>
      <c r="D146" s="1" t="s">
        <v>129</v>
      </c>
      <c r="E146" s="5">
        <v>5.0</v>
      </c>
      <c r="F146" s="1" t="s">
        <v>183</v>
      </c>
    </row>
    <row r="147">
      <c r="A147" s="1" t="s">
        <v>679</v>
      </c>
      <c r="B147" s="1" t="s">
        <v>680</v>
      </c>
      <c r="C147" s="1" t="s">
        <v>64</v>
      </c>
      <c r="D147" s="1" t="s">
        <v>129</v>
      </c>
      <c r="E147" s="5">
        <v>304.0</v>
      </c>
      <c r="F147" s="1" t="s">
        <v>140</v>
      </c>
    </row>
    <row r="148">
      <c r="A148" s="1" t="s">
        <v>681</v>
      </c>
      <c r="B148" s="1" t="s">
        <v>683</v>
      </c>
      <c r="C148" s="1" t="s">
        <v>30</v>
      </c>
      <c r="D148" s="1" t="s">
        <v>129</v>
      </c>
      <c r="E148" s="5">
        <v>35.0</v>
      </c>
      <c r="F148" s="1" t="s">
        <v>183</v>
      </c>
    </row>
    <row r="149">
      <c r="A149" s="1" t="s">
        <v>685</v>
      </c>
      <c r="B149" s="1" t="s">
        <v>687</v>
      </c>
      <c r="C149" s="1" t="s">
        <v>30</v>
      </c>
      <c r="D149" s="1" t="s">
        <v>129</v>
      </c>
      <c r="E149" s="5">
        <v>4.0</v>
      </c>
      <c r="F149" s="1" t="s">
        <v>400</v>
      </c>
    </row>
    <row r="150">
      <c r="A150" s="1" t="s">
        <v>690</v>
      </c>
      <c r="B150" s="1" t="s">
        <v>687</v>
      </c>
      <c r="C150" s="1" t="s">
        <v>30</v>
      </c>
      <c r="D150" s="1" t="s">
        <v>129</v>
      </c>
      <c r="E150" s="5">
        <v>29.0</v>
      </c>
      <c r="F150" s="1" t="s">
        <v>141</v>
      </c>
    </row>
    <row r="151">
      <c r="A151" s="1" t="s">
        <v>693</v>
      </c>
      <c r="B151" s="1" t="s">
        <v>694</v>
      </c>
      <c r="C151" s="1" t="s">
        <v>30</v>
      </c>
      <c r="D151" s="1" t="s">
        <v>129</v>
      </c>
      <c r="E151" s="5">
        <v>79.0</v>
      </c>
      <c r="F151" s="1" t="s">
        <v>210</v>
      </c>
    </row>
    <row r="152">
      <c r="A152" s="1" t="s">
        <v>698</v>
      </c>
      <c r="B152" s="1" t="s">
        <v>694</v>
      </c>
      <c r="C152" s="1" t="s">
        <v>30</v>
      </c>
      <c r="D152" s="1" t="s">
        <v>129</v>
      </c>
      <c r="E152" s="5">
        <v>119.0</v>
      </c>
      <c r="F152" s="1" t="s">
        <v>140</v>
      </c>
    </row>
    <row r="153">
      <c r="A153" s="1" t="s">
        <v>700</v>
      </c>
      <c r="B153" s="1" t="s">
        <v>701</v>
      </c>
      <c r="C153" s="1" t="s">
        <v>30</v>
      </c>
      <c r="D153" s="1" t="s">
        <v>25</v>
      </c>
      <c r="E153" s="5">
        <v>38.0</v>
      </c>
      <c r="F153" s="1" t="s">
        <v>35</v>
      </c>
    </row>
    <row r="154">
      <c r="A154" s="1" t="s">
        <v>704</v>
      </c>
      <c r="B154" s="1" t="s">
        <v>701</v>
      </c>
      <c r="C154" s="1" t="s">
        <v>30</v>
      </c>
      <c r="D154" s="1" t="s">
        <v>41</v>
      </c>
      <c r="E154" s="5">
        <v>36.0</v>
      </c>
      <c r="F154" s="1" t="s">
        <v>35</v>
      </c>
    </row>
    <row r="155">
      <c r="A155" s="1" t="s">
        <v>707</v>
      </c>
      <c r="B155" s="1" t="s">
        <v>701</v>
      </c>
      <c r="C155" s="1" t="s">
        <v>30</v>
      </c>
      <c r="D155" s="1" t="s">
        <v>73</v>
      </c>
      <c r="E155" s="5">
        <v>2.0</v>
      </c>
      <c r="F155" s="1" t="s">
        <v>35</v>
      </c>
    </row>
    <row r="156">
      <c r="A156" s="1" t="s">
        <v>710</v>
      </c>
      <c r="B156" s="1" t="s">
        <v>713</v>
      </c>
      <c r="C156" s="1" t="s">
        <v>30</v>
      </c>
      <c r="D156" s="1" t="s">
        <v>25</v>
      </c>
      <c r="E156" s="5">
        <v>3.0</v>
      </c>
      <c r="F156" s="1" t="s">
        <v>54</v>
      </c>
    </row>
    <row r="157">
      <c r="A157" s="1" t="s">
        <v>715</v>
      </c>
      <c r="B157" s="1" t="s">
        <v>713</v>
      </c>
      <c r="C157" s="1" t="s">
        <v>30</v>
      </c>
      <c r="D157" s="1" t="s">
        <v>58</v>
      </c>
      <c r="E157" s="5">
        <v>4.0</v>
      </c>
      <c r="F157" s="1" t="s">
        <v>54</v>
      </c>
    </row>
    <row r="158">
      <c r="A158" s="1" t="s">
        <v>721</v>
      </c>
      <c r="B158" s="1" t="s">
        <v>713</v>
      </c>
      <c r="C158" s="1" t="s">
        <v>30</v>
      </c>
      <c r="D158" s="1" t="s">
        <v>41</v>
      </c>
      <c r="E158" s="5">
        <v>4.0</v>
      </c>
      <c r="F158" s="1" t="s">
        <v>54</v>
      </c>
    </row>
    <row r="159">
      <c r="A159" s="1" t="s">
        <v>722</v>
      </c>
      <c r="B159" s="1" t="s">
        <v>713</v>
      </c>
      <c r="C159" s="1" t="s">
        <v>30</v>
      </c>
      <c r="D159" s="1" t="s">
        <v>73</v>
      </c>
      <c r="E159" s="5">
        <v>4.0</v>
      </c>
      <c r="F159" s="1" t="s">
        <v>54</v>
      </c>
    </row>
    <row r="160">
      <c r="A160" s="1" t="s">
        <v>727</v>
      </c>
      <c r="B160" s="1" t="s">
        <v>713</v>
      </c>
      <c r="C160" s="1" t="s">
        <v>30</v>
      </c>
      <c r="D160" s="1" t="s">
        <v>126</v>
      </c>
      <c r="E160" s="5">
        <v>2.0</v>
      </c>
      <c r="F160" s="1" t="s">
        <v>54</v>
      </c>
    </row>
    <row r="161">
      <c r="A161" s="1" t="s">
        <v>729</v>
      </c>
      <c r="B161" s="1" t="s">
        <v>713</v>
      </c>
      <c r="C161" s="1" t="s">
        <v>30</v>
      </c>
      <c r="D161" s="1" t="s">
        <v>139</v>
      </c>
      <c r="E161" s="5">
        <v>1.0</v>
      </c>
      <c r="F161" s="1" t="s">
        <v>54</v>
      </c>
    </row>
    <row r="162">
      <c r="A162" s="1" t="s">
        <v>733</v>
      </c>
      <c r="B162" s="1" t="s">
        <v>734</v>
      </c>
      <c r="C162" s="1" t="s">
        <v>30</v>
      </c>
      <c r="D162" s="1" t="s">
        <v>58</v>
      </c>
      <c r="E162" s="5">
        <v>3.0</v>
      </c>
      <c r="F162" s="1" t="s">
        <v>106</v>
      </c>
    </row>
    <row r="163">
      <c r="A163" s="1" t="s">
        <v>736</v>
      </c>
      <c r="B163" s="1" t="s">
        <v>734</v>
      </c>
      <c r="C163" s="1" t="s">
        <v>30</v>
      </c>
      <c r="D163" s="1" t="s">
        <v>126</v>
      </c>
      <c r="E163" s="5">
        <v>3.0</v>
      </c>
      <c r="F163" s="1" t="s">
        <v>106</v>
      </c>
    </row>
    <row r="164">
      <c r="A164" s="1" t="s">
        <v>740</v>
      </c>
      <c r="B164" s="1" t="s">
        <v>741</v>
      </c>
      <c r="C164" s="1" t="s">
        <v>30</v>
      </c>
      <c r="D164" s="1" t="s">
        <v>73</v>
      </c>
      <c r="E164" s="5">
        <v>3.0</v>
      </c>
      <c r="F164" s="1" t="s">
        <v>141</v>
      </c>
    </row>
    <row r="165">
      <c r="A165" s="1" t="s">
        <v>744</v>
      </c>
      <c r="B165" s="1" t="s">
        <v>741</v>
      </c>
      <c r="C165" s="1" t="s">
        <v>30</v>
      </c>
      <c r="D165" s="1" t="s">
        <v>127</v>
      </c>
      <c r="E165" s="5">
        <v>3.0</v>
      </c>
      <c r="F165" s="1" t="s">
        <v>141</v>
      </c>
    </row>
    <row r="166">
      <c r="A166" s="1" t="s">
        <v>748</v>
      </c>
      <c r="B166" s="1" t="s">
        <v>749</v>
      </c>
      <c r="C166" s="1" t="s">
        <v>30</v>
      </c>
      <c r="D166" s="1" t="s">
        <v>25</v>
      </c>
      <c r="E166" s="5">
        <v>1.0</v>
      </c>
      <c r="F166" s="1" t="s">
        <v>163</v>
      </c>
    </row>
    <row r="167">
      <c r="A167" s="1" t="s">
        <v>752</v>
      </c>
      <c r="B167" s="1" t="s">
        <v>749</v>
      </c>
      <c r="C167" s="1" t="s">
        <v>30</v>
      </c>
      <c r="D167" s="1" t="s">
        <v>126</v>
      </c>
      <c r="E167" s="5">
        <v>1.0</v>
      </c>
      <c r="F167" s="1" t="s">
        <v>163</v>
      </c>
    </row>
    <row r="168">
      <c r="A168" s="1" t="s">
        <v>754</v>
      </c>
      <c r="B168" s="1" t="s">
        <v>749</v>
      </c>
      <c r="C168" s="1" t="s">
        <v>30</v>
      </c>
      <c r="D168" s="1" t="s">
        <v>41</v>
      </c>
      <c r="E168" s="5">
        <v>1.0</v>
      </c>
      <c r="F168" s="1" t="s">
        <v>82</v>
      </c>
    </row>
    <row r="169">
      <c r="A169" s="1" t="s">
        <v>758</v>
      </c>
      <c r="B169" s="1" t="s">
        <v>760</v>
      </c>
      <c r="C169" s="1" t="s">
        <v>30</v>
      </c>
      <c r="D169" s="1" t="s">
        <v>25</v>
      </c>
      <c r="E169" s="5">
        <v>3.0</v>
      </c>
      <c r="F169" s="1" t="s">
        <v>183</v>
      </c>
    </row>
    <row r="170">
      <c r="A170" s="1" t="s">
        <v>762</v>
      </c>
      <c r="B170" s="1" t="s">
        <v>760</v>
      </c>
      <c r="C170" s="1" t="s">
        <v>30</v>
      </c>
      <c r="D170" s="1" t="s">
        <v>58</v>
      </c>
      <c r="E170" s="5">
        <v>1.0</v>
      </c>
      <c r="F170" s="1" t="s">
        <v>183</v>
      </c>
    </row>
    <row r="171">
      <c r="A171" s="1" t="s">
        <v>766</v>
      </c>
      <c r="B171" s="1" t="s">
        <v>760</v>
      </c>
      <c r="C171" s="1" t="s">
        <v>30</v>
      </c>
      <c r="D171" s="1" t="s">
        <v>41</v>
      </c>
      <c r="E171" s="5">
        <v>3.0</v>
      </c>
      <c r="F171" s="1" t="s">
        <v>183</v>
      </c>
    </row>
    <row r="172">
      <c r="A172" s="1" t="s">
        <v>768</v>
      </c>
      <c r="B172" s="1" t="s">
        <v>760</v>
      </c>
      <c r="C172" s="1" t="s">
        <v>30</v>
      </c>
      <c r="D172" s="1" t="s">
        <v>73</v>
      </c>
      <c r="E172" s="5">
        <v>2.0</v>
      </c>
      <c r="F172" s="1" t="s">
        <v>183</v>
      </c>
    </row>
    <row r="173">
      <c r="A173" s="1" t="s">
        <v>769</v>
      </c>
      <c r="B173" s="1" t="s">
        <v>760</v>
      </c>
      <c r="C173" s="1" t="s">
        <v>30</v>
      </c>
      <c r="D173" s="1" t="s">
        <v>126</v>
      </c>
      <c r="E173" s="5">
        <v>1.0</v>
      </c>
      <c r="F173" s="1" t="s">
        <v>183</v>
      </c>
    </row>
    <row r="174">
      <c r="A174" s="1" t="s">
        <v>771</v>
      </c>
      <c r="B174" s="1" t="s">
        <v>760</v>
      </c>
      <c r="C174" s="1" t="s">
        <v>30</v>
      </c>
      <c r="D174" s="1" t="s">
        <v>139</v>
      </c>
      <c r="E174" s="5">
        <v>1.0</v>
      </c>
      <c r="F174" s="1" t="s">
        <v>183</v>
      </c>
    </row>
    <row r="175">
      <c r="A175" s="1" t="s">
        <v>775</v>
      </c>
      <c r="B175" s="1" t="s">
        <v>776</v>
      </c>
      <c r="C175" s="1" t="s">
        <v>30</v>
      </c>
      <c r="D175" s="1" t="s">
        <v>25</v>
      </c>
      <c r="E175" s="5">
        <v>4.0</v>
      </c>
      <c r="F175" s="1" t="s">
        <v>140</v>
      </c>
    </row>
    <row r="176">
      <c r="A176" s="1" t="s">
        <v>777</v>
      </c>
      <c r="B176" s="1" t="s">
        <v>776</v>
      </c>
      <c r="C176" s="1" t="s">
        <v>30</v>
      </c>
      <c r="D176" s="1" t="s">
        <v>41</v>
      </c>
      <c r="E176" s="5">
        <v>4.0</v>
      </c>
      <c r="F176" s="1" t="s">
        <v>140</v>
      </c>
    </row>
    <row r="177">
      <c r="A177" s="1" t="s">
        <v>779</v>
      </c>
      <c r="B177" s="1" t="s">
        <v>776</v>
      </c>
      <c r="C177" s="1" t="s">
        <v>30</v>
      </c>
      <c r="D177" s="1" t="s">
        <v>73</v>
      </c>
      <c r="E177" s="5">
        <v>8.0</v>
      </c>
      <c r="F177" s="1" t="s">
        <v>140</v>
      </c>
    </row>
    <row r="178">
      <c r="A178" s="1" t="s">
        <v>782</v>
      </c>
      <c r="B178" s="1" t="s">
        <v>776</v>
      </c>
      <c r="C178" s="1" t="s">
        <v>30</v>
      </c>
      <c r="D178" s="1" t="s">
        <v>139</v>
      </c>
      <c r="E178" s="5">
        <v>4.0</v>
      </c>
      <c r="F178" s="1" t="s">
        <v>140</v>
      </c>
    </row>
    <row r="179">
      <c r="A179" s="1" t="s">
        <v>783</v>
      </c>
      <c r="B179" s="1" t="s">
        <v>784</v>
      </c>
      <c r="C179" s="1" t="s">
        <v>30</v>
      </c>
      <c r="D179" s="1" t="s">
        <v>25</v>
      </c>
      <c r="E179" s="5">
        <v>1.0</v>
      </c>
      <c r="F179" s="1" t="s">
        <v>210</v>
      </c>
    </row>
    <row r="180">
      <c r="A180" s="1" t="s">
        <v>788</v>
      </c>
      <c r="B180" s="1" t="s">
        <v>784</v>
      </c>
      <c r="C180" s="1" t="s">
        <v>30</v>
      </c>
      <c r="D180" s="1" t="s">
        <v>73</v>
      </c>
      <c r="E180" s="5">
        <v>1.0</v>
      </c>
      <c r="F180" s="1" t="s">
        <v>210</v>
      </c>
    </row>
    <row r="181">
      <c r="A181" s="1" t="s">
        <v>789</v>
      </c>
      <c r="B181" s="1" t="s">
        <v>784</v>
      </c>
      <c r="C181" s="1" t="s">
        <v>30</v>
      </c>
      <c r="D181" s="1" t="s">
        <v>126</v>
      </c>
      <c r="E181" s="5">
        <v>1.0</v>
      </c>
      <c r="F181" s="1" t="s">
        <v>210</v>
      </c>
    </row>
    <row r="182">
      <c r="A182" s="1" t="s">
        <v>792</v>
      </c>
      <c r="B182" s="1" t="s">
        <v>784</v>
      </c>
      <c r="C182" s="1" t="s">
        <v>30</v>
      </c>
      <c r="D182" s="1" t="s">
        <v>127</v>
      </c>
      <c r="E182" s="5">
        <v>4.0</v>
      </c>
      <c r="F182" s="1" t="s">
        <v>210</v>
      </c>
    </row>
    <row r="183">
      <c r="A183" s="1" t="s">
        <v>794</v>
      </c>
      <c r="B183" s="1" t="s">
        <v>795</v>
      </c>
      <c r="C183" s="1" t="s">
        <v>30</v>
      </c>
      <c r="D183" s="1" t="s">
        <v>25</v>
      </c>
      <c r="E183" s="5">
        <v>10.0</v>
      </c>
      <c r="F183" s="1" t="s">
        <v>228</v>
      </c>
    </row>
    <row r="184">
      <c r="A184" s="1" t="s">
        <v>798</v>
      </c>
      <c r="B184" s="1" t="s">
        <v>795</v>
      </c>
      <c r="C184" s="1" t="s">
        <v>30</v>
      </c>
      <c r="D184" s="1" t="s">
        <v>41</v>
      </c>
      <c r="E184" s="5">
        <v>17.0</v>
      </c>
      <c r="F184" s="1" t="s">
        <v>228</v>
      </c>
    </row>
    <row r="185">
      <c r="A185" s="1" t="s">
        <v>801</v>
      </c>
      <c r="B185" s="1" t="s">
        <v>802</v>
      </c>
      <c r="C185" s="1" t="s">
        <v>30</v>
      </c>
      <c r="D185" s="1" t="s">
        <v>25</v>
      </c>
      <c r="E185" s="5">
        <v>10.0</v>
      </c>
      <c r="F185" s="1" t="s">
        <v>228</v>
      </c>
    </row>
    <row r="186">
      <c r="A186" s="1" t="s">
        <v>805</v>
      </c>
      <c r="B186" s="1" t="s">
        <v>802</v>
      </c>
      <c r="C186" s="1" t="s">
        <v>30</v>
      </c>
      <c r="D186" s="1" t="s">
        <v>41</v>
      </c>
      <c r="E186" s="5">
        <v>17.0</v>
      </c>
      <c r="F186" s="1" t="s">
        <v>228</v>
      </c>
    </row>
    <row r="187">
      <c r="A187" s="1" t="s">
        <v>809</v>
      </c>
      <c r="B187" s="1" t="s">
        <v>811</v>
      </c>
      <c r="C187" s="1" t="s">
        <v>30</v>
      </c>
      <c r="D187" s="1" t="s">
        <v>25</v>
      </c>
      <c r="E187" s="5">
        <v>63.0</v>
      </c>
      <c r="F187" s="1" t="s">
        <v>68</v>
      </c>
    </row>
    <row r="188">
      <c r="A188" s="1" t="s">
        <v>812</v>
      </c>
      <c r="B188" s="1" t="s">
        <v>811</v>
      </c>
      <c r="C188" s="1" t="s">
        <v>30</v>
      </c>
      <c r="D188" s="1" t="s">
        <v>111</v>
      </c>
      <c r="E188" s="5">
        <v>58.0</v>
      </c>
      <c r="F188" s="1" t="s">
        <v>68</v>
      </c>
    </row>
    <row r="189">
      <c r="A189" s="1" t="s">
        <v>816</v>
      </c>
      <c r="B189" s="1" t="s">
        <v>811</v>
      </c>
      <c r="C189" s="1" t="s">
        <v>30</v>
      </c>
      <c r="D189" s="1" t="s">
        <v>124</v>
      </c>
      <c r="E189" s="5">
        <v>53.0</v>
      </c>
      <c r="F189" s="1" t="s">
        <v>68</v>
      </c>
    </row>
    <row r="190">
      <c r="A190" s="1" t="s">
        <v>820</v>
      </c>
      <c r="B190" s="1" t="s">
        <v>811</v>
      </c>
      <c r="C190" s="1" t="s">
        <v>30</v>
      </c>
      <c r="D190" s="1" t="s">
        <v>25</v>
      </c>
      <c r="E190" s="5">
        <v>4.0</v>
      </c>
      <c r="F190" s="1" t="s">
        <v>247</v>
      </c>
    </row>
    <row r="191">
      <c r="A191" s="1" t="s">
        <v>821</v>
      </c>
      <c r="B191" s="1" t="s">
        <v>811</v>
      </c>
      <c r="C191" s="1" t="s">
        <v>30</v>
      </c>
      <c r="D191" s="1" t="s">
        <v>133</v>
      </c>
      <c r="E191" s="5">
        <v>13.0</v>
      </c>
      <c r="F191" s="1" t="s">
        <v>247</v>
      </c>
    </row>
    <row r="192">
      <c r="A192" s="1" t="s">
        <v>825</v>
      </c>
      <c r="B192" s="1" t="s">
        <v>826</v>
      </c>
      <c r="C192" s="1" t="s">
        <v>30</v>
      </c>
      <c r="D192" s="1" t="s">
        <v>25</v>
      </c>
      <c r="E192" s="5">
        <v>7.0</v>
      </c>
      <c r="F192" s="1" t="s">
        <v>32</v>
      </c>
    </row>
    <row r="193">
      <c r="A193" s="1" t="s">
        <v>828</v>
      </c>
      <c r="B193" s="1" t="s">
        <v>826</v>
      </c>
      <c r="C193" s="1" t="s">
        <v>30</v>
      </c>
      <c r="D193" s="1" t="s">
        <v>41</v>
      </c>
      <c r="E193" s="5">
        <v>7.0</v>
      </c>
      <c r="F193" s="1" t="s">
        <v>32</v>
      </c>
    </row>
    <row r="194">
      <c r="A194" s="1" t="s">
        <v>829</v>
      </c>
      <c r="B194" s="1" t="s">
        <v>826</v>
      </c>
      <c r="C194" s="1" t="s">
        <v>30</v>
      </c>
      <c r="D194" s="1" t="s">
        <v>73</v>
      </c>
      <c r="E194" s="5">
        <v>4.0</v>
      </c>
      <c r="F194" s="1" t="s">
        <v>32</v>
      </c>
    </row>
    <row r="195">
      <c r="A195" s="1" t="s">
        <v>830</v>
      </c>
      <c r="B195" s="1" t="s">
        <v>826</v>
      </c>
      <c r="C195" s="1" t="s">
        <v>30</v>
      </c>
      <c r="D195" s="1" t="s">
        <v>126</v>
      </c>
      <c r="E195" s="5">
        <v>2.0</v>
      </c>
      <c r="F195" s="1" t="s">
        <v>32</v>
      </c>
    </row>
    <row r="196">
      <c r="A196" s="1" t="s">
        <v>831</v>
      </c>
      <c r="B196" s="1" t="s">
        <v>832</v>
      </c>
      <c r="C196" s="1" t="s">
        <v>30</v>
      </c>
      <c r="D196" s="1" t="s">
        <v>25</v>
      </c>
      <c r="E196" s="5">
        <v>24.0</v>
      </c>
      <c r="F196" s="1" t="s">
        <v>53</v>
      </c>
    </row>
    <row r="197">
      <c r="A197" s="1" t="s">
        <v>833</v>
      </c>
      <c r="B197" s="1" t="s">
        <v>832</v>
      </c>
      <c r="C197" s="1" t="s">
        <v>30</v>
      </c>
      <c r="D197" s="1" t="s">
        <v>41</v>
      </c>
      <c r="E197" s="5">
        <v>24.0</v>
      </c>
      <c r="F197" s="1" t="s">
        <v>53</v>
      </c>
    </row>
    <row r="198">
      <c r="A198" s="1" t="s">
        <v>834</v>
      </c>
      <c r="B198" s="1" t="s">
        <v>835</v>
      </c>
      <c r="C198" s="1" t="s">
        <v>30</v>
      </c>
      <c r="D198" s="1" t="s">
        <v>25</v>
      </c>
      <c r="E198" s="5">
        <v>2.0</v>
      </c>
      <c r="F198" s="1" t="s">
        <v>414</v>
      </c>
    </row>
    <row r="199">
      <c r="A199" s="1" t="s">
        <v>836</v>
      </c>
      <c r="B199" s="1" t="s">
        <v>835</v>
      </c>
      <c r="C199" s="1" t="s">
        <v>30</v>
      </c>
      <c r="D199" s="1" t="s">
        <v>73</v>
      </c>
      <c r="E199" s="5">
        <v>1.0</v>
      </c>
      <c r="F199" s="1" t="s">
        <v>414</v>
      </c>
    </row>
    <row r="200">
      <c r="A200" s="1" t="s">
        <v>837</v>
      </c>
      <c r="B200" s="1" t="s">
        <v>835</v>
      </c>
      <c r="C200" s="1" t="s">
        <v>30</v>
      </c>
      <c r="D200" s="1" t="s">
        <v>126</v>
      </c>
      <c r="E200" s="5">
        <v>1.0</v>
      </c>
      <c r="F200" s="1" t="s">
        <v>414</v>
      </c>
    </row>
    <row r="201">
      <c r="A201" s="1" t="s">
        <v>838</v>
      </c>
      <c r="B201" s="1" t="s">
        <v>839</v>
      </c>
      <c r="C201" s="1" t="s">
        <v>30</v>
      </c>
      <c r="D201" s="1" t="s">
        <v>25</v>
      </c>
      <c r="E201" s="5">
        <v>3.0</v>
      </c>
      <c r="F201" s="1" t="s">
        <v>424</v>
      </c>
    </row>
    <row r="202">
      <c r="A202" s="1" t="s">
        <v>840</v>
      </c>
      <c r="B202" s="1" t="s">
        <v>839</v>
      </c>
      <c r="C202" s="1" t="s">
        <v>30</v>
      </c>
      <c r="D202" s="1" t="s">
        <v>73</v>
      </c>
      <c r="E202" s="5">
        <v>3.0</v>
      </c>
      <c r="F202" s="1" t="s">
        <v>424</v>
      </c>
    </row>
    <row r="203">
      <c r="A203" s="1" t="s">
        <v>841</v>
      </c>
      <c r="B203" s="1" t="s">
        <v>842</v>
      </c>
      <c r="C203" s="1" t="s">
        <v>30</v>
      </c>
      <c r="D203" s="1" t="s">
        <v>25</v>
      </c>
      <c r="E203" s="5">
        <v>5.0</v>
      </c>
      <c r="F203" s="1" t="s">
        <v>263</v>
      </c>
    </row>
    <row r="204">
      <c r="A204" s="1" t="s">
        <v>843</v>
      </c>
      <c r="B204" s="1" t="s">
        <v>842</v>
      </c>
      <c r="C204" s="1" t="s">
        <v>30</v>
      </c>
      <c r="D204" s="1" t="s">
        <v>73</v>
      </c>
      <c r="E204" s="5">
        <v>7.0</v>
      </c>
      <c r="F204" s="1" t="s">
        <v>263</v>
      </c>
    </row>
    <row r="205">
      <c r="A205" s="1" t="s">
        <v>844</v>
      </c>
      <c r="B205" s="1" t="s">
        <v>845</v>
      </c>
      <c r="C205" s="1" t="s">
        <v>64</v>
      </c>
      <c r="D205" s="1" t="s">
        <v>129</v>
      </c>
      <c r="E205" s="7">
        <v>306.0</v>
      </c>
      <c r="F205" s="1" t="s">
        <v>140</v>
      </c>
    </row>
    <row r="206">
      <c r="A206" s="1" t="s">
        <v>846</v>
      </c>
      <c r="B206" s="1" t="s">
        <v>845</v>
      </c>
      <c r="C206" s="1" t="s">
        <v>64</v>
      </c>
      <c r="D206" s="1" t="s">
        <v>129</v>
      </c>
      <c r="E206" s="7">
        <v>20.0</v>
      </c>
      <c r="F206" s="1" t="s">
        <v>183</v>
      </c>
    </row>
    <row r="207">
      <c r="A207" s="1" t="s">
        <v>847</v>
      </c>
      <c r="B207" s="1" t="s">
        <v>848</v>
      </c>
      <c r="C207" s="1" t="s">
        <v>64</v>
      </c>
      <c r="D207" s="1" t="s">
        <v>138</v>
      </c>
      <c r="E207" s="7">
        <v>2.0</v>
      </c>
      <c r="F207" s="1" t="s">
        <v>183</v>
      </c>
    </row>
    <row r="208">
      <c r="A208" s="1" t="s">
        <v>849</v>
      </c>
      <c r="B208" s="1" t="s">
        <v>848</v>
      </c>
      <c r="C208" s="1" t="s">
        <v>64</v>
      </c>
      <c r="D208" s="1" t="s">
        <v>129</v>
      </c>
      <c r="E208" s="7">
        <v>15.0</v>
      </c>
      <c r="F208" s="1" t="s">
        <v>141</v>
      </c>
    </row>
    <row r="209">
      <c r="A209" s="1" t="s">
        <v>850</v>
      </c>
      <c r="B209" s="1" t="s">
        <v>851</v>
      </c>
      <c r="C209" s="1" t="s">
        <v>30</v>
      </c>
      <c r="D209" s="1" t="s">
        <v>129</v>
      </c>
      <c r="E209" s="7">
        <v>42.0</v>
      </c>
      <c r="F209" s="1" t="s">
        <v>210</v>
      </c>
    </row>
    <row r="210">
      <c r="A210" s="1" t="s">
        <v>852</v>
      </c>
      <c r="B210" s="1" t="s">
        <v>853</v>
      </c>
      <c r="C210" s="1" t="s">
        <v>30</v>
      </c>
      <c r="D210" s="1" t="s">
        <v>125</v>
      </c>
      <c r="E210" s="7">
        <v>3.0</v>
      </c>
      <c r="F210" s="1" t="s">
        <v>183</v>
      </c>
    </row>
    <row r="211">
      <c r="A211" s="1" t="s">
        <v>854</v>
      </c>
      <c r="B211" s="1" t="s">
        <v>853</v>
      </c>
      <c r="C211" s="1" t="s">
        <v>30</v>
      </c>
      <c r="D211" s="1" t="s">
        <v>129</v>
      </c>
      <c r="E211" s="7">
        <v>28.0</v>
      </c>
      <c r="F211" s="1" t="s">
        <v>183</v>
      </c>
    </row>
    <row r="212">
      <c r="A212" s="1" t="s">
        <v>855</v>
      </c>
      <c r="B212" s="1" t="s">
        <v>853</v>
      </c>
      <c r="C212" s="1" t="s">
        <v>30</v>
      </c>
      <c r="D212" s="1" t="s">
        <v>125</v>
      </c>
      <c r="E212" s="7">
        <v>3.0</v>
      </c>
      <c r="F212" s="1" t="s">
        <v>183</v>
      </c>
    </row>
    <row r="213">
      <c r="A213" s="1" t="s">
        <v>856</v>
      </c>
      <c r="B213" s="1" t="s">
        <v>853</v>
      </c>
      <c r="C213" s="1" t="s">
        <v>30</v>
      </c>
      <c r="D213" s="1" t="s">
        <v>129</v>
      </c>
      <c r="E213" s="7">
        <v>28.0</v>
      </c>
      <c r="F213" s="1" t="s">
        <v>183</v>
      </c>
    </row>
    <row r="214">
      <c r="A214" s="1" t="s">
        <v>857</v>
      </c>
      <c r="B214" s="1" t="s">
        <v>858</v>
      </c>
      <c r="C214" s="1" t="s">
        <v>30</v>
      </c>
      <c r="D214" s="1" t="s">
        <v>129</v>
      </c>
      <c r="E214" s="7">
        <v>16.0</v>
      </c>
      <c r="F214" s="1" t="s">
        <v>141</v>
      </c>
    </row>
    <row r="215">
      <c r="A215" s="1" t="s">
        <v>859</v>
      </c>
      <c r="B215" s="1" t="s">
        <v>858</v>
      </c>
      <c r="C215" s="1" t="s">
        <v>30</v>
      </c>
      <c r="D215" s="1" t="s">
        <v>129</v>
      </c>
      <c r="E215" s="7">
        <v>123.0</v>
      </c>
      <c r="F215" s="1" t="s">
        <v>140</v>
      </c>
    </row>
    <row r="216">
      <c r="A216" s="1" t="s">
        <v>860</v>
      </c>
      <c r="B216" s="1" t="s">
        <v>861</v>
      </c>
      <c r="C216" s="1" t="s">
        <v>30</v>
      </c>
      <c r="D216" s="1" t="s">
        <v>129</v>
      </c>
      <c r="E216" s="7">
        <v>123.0</v>
      </c>
      <c r="F216" s="1" t="s">
        <v>140</v>
      </c>
    </row>
    <row r="217">
      <c r="A217" s="1" t="s">
        <v>862</v>
      </c>
      <c r="B217" s="1" t="s">
        <v>863</v>
      </c>
      <c r="C217" s="1" t="s">
        <v>44</v>
      </c>
      <c r="D217" s="1" t="s">
        <v>129</v>
      </c>
      <c r="E217" s="7">
        <v>2.0</v>
      </c>
      <c r="F217" s="1" t="s">
        <v>68</v>
      </c>
    </row>
    <row r="218">
      <c r="A218" s="1" t="s">
        <v>864</v>
      </c>
      <c r="B218" s="1" t="s">
        <v>764</v>
      </c>
      <c r="C218" s="1" t="s">
        <v>44</v>
      </c>
      <c r="D218" s="1" t="s">
        <v>125</v>
      </c>
      <c r="E218" s="7">
        <v>4.0</v>
      </c>
      <c r="F218" s="1" t="s">
        <v>68</v>
      </c>
    </row>
    <row r="219">
      <c r="A219" s="1" t="s">
        <v>865</v>
      </c>
      <c r="B219" s="1" t="s">
        <v>866</v>
      </c>
      <c r="C219" s="1" t="s">
        <v>30</v>
      </c>
      <c r="D219" s="1" t="s">
        <v>25</v>
      </c>
      <c r="E219" s="7">
        <v>43.0</v>
      </c>
      <c r="F219" s="1" t="s">
        <v>35</v>
      </c>
    </row>
    <row r="220">
      <c r="A220" s="1" t="s">
        <v>867</v>
      </c>
      <c r="B220" s="1" t="s">
        <v>866</v>
      </c>
      <c r="C220" s="1" t="s">
        <v>30</v>
      </c>
      <c r="D220" s="1" t="s">
        <v>58</v>
      </c>
      <c r="E220" s="7">
        <v>1.0</v>
      </c>
      <c r="F220" s="1" t="s">
        <v>35</v>
      </c>
    </row>
    <row r="221">
      <c r="A221" s="1" t="s">
        <v>868</v>
      </c>
      <c r="B221" s="1" t="s">
        <v>866</v>
      </c>
      <c r="C221" s="1" t="s">
        <v>30</v>
      </c>
      <c r="D221" s="1" t="s">
        <v>41</v>
      </c>
      <c r="E221" s="7">
        <v>41.0</v>
      </c>
      <c r="F221" s="1" t="s">
        <v>35</v>
      </c>
    </row>
    <row r="222">
      <c r="A222" s="1" t="s">
        <v>869</v>
      </c>
      <c r="B222" s="1" t="s">
        <v>866</v>
      </c>
      <c r="C222" s="1" t="s">
        <v>30</v>
      </c>
      <c r="D222" s="1" t="s">
        <v>73</v>
      </c>
      <c r="E222" s="7">
        <v>2.0</v>
      </c>
      <c r="F222" s="1" t="s">
        <v>35</v>
      </c>
    </row>
    <row r="223">
      <c r="A223" s="1" t="s">
        <v>870</v>
      </c>
      <c r="B223" s="1" t="s">
        <v>871</v>
      </c>
      <c r="C223" s="1" t="s">
        <v>30</v>
      </c>
      <c r="D223" s="1" t="s">
        <v>25</v>
      </c>
      <c r="E223" s="7">
        <v>6.0</v>
      </c>
      <c r="F223" s="1" t="s">
        <v>54</v>
      </c>
    </row>
    <row r="224">
      <c r="A224" s="1" t="s">
        <v>872</v>
      </c>
      <c r="B224" s="1" t="s">
        <v>871</v>
      </c>
      <c r="C224" s="1" t="s">
        <v>30</v>
      </c>
      <c r="D224" s="1" t="s">
        <v>58</v>
      </c>
      <c r="E224" s="7">
        <v>3.0</v>
      </c>
      <c r="F224" s="1" t="s">
        <v>54</v>
      </c>
    </row>
    <row r="225">
      <c r="A225" s="1" t="s">
        <v>873</v>
      </c>
      <c r="B225" s="1" t="s">
        <v>871</v>
      </c>
      <c r="C225" s="1" t="s">
        <v>30</v>
      </c>
      <c r="D225" s="1" t="s">
        <v>41</v>
      </c>
      <c r="E225" s="7">
        <v>7.0</v>
      </c>
      <c r="F225" s="1" t="s">
        <v>54</v>
      </c>
    </row>
    <row r="226">
      <c r="A226" s="1" t="s">
        <v>874</v>
      </c>
      <c r="B226" s="1" t="s">
        <v>871</v>
      </c>
      <c r="C226" s="1" t="s">
        <v>30</v>
      </c>
      <c r="D226" s="1" t="s">
        <v>73</v>
      </c>
      <c r="E226" s="7">
        <v>2.0</v>
      </c>
      <c r="F226" s="1" t="s">
        <v>54</v>
      </c>
    </row>
    <row r="227">
      <c r="A227" s="1" t="s">
        <v>875</v>
      </c>
      <c r="B227" s="1" t="s">
        <v>871</v>
      </c>
      <c r="C227" s="1" t="s">
        <v>30</v>
      </c>
      <c r="D227" s="1" t="s">
        <v>126</v>
      </c>
      <c r="E227" s="7">
        <v>6.0</v>
      </c>
      <c r="F227" s="1" t="s">
        <v>54</v>
      </c>
    </row>
    <row r="228">
      <c r="A228" s="1" t="s">
        <v>876</v>
      </c>
      <c r="B228" s="1" t="s">
        <v>871</v>
      </c>
      <c r="C228" s="1" t="s">
        <v>30</v>
      </c>
      <c r="D228" s="1" t="s">
        <v>139</v>
      </c>
      <c r="E228" s="7">
        <v>1.0</v>
      </c>
      <c r="F228" s="1" t="s">
        <v>54</v>
      </c>
    </row>
    <row r="229">
      <c r="A229" s="1" t="s">
        <v>877</v>
      </c>
      <c r="B229" s="1" t="s">
        <v>878</v>
      </c>
      <c r="C229" s="1" t="s">
        <v>30</v>
      </c>
      <c r="D229" s="1" t="s">
        <v>58</v>
      </c>
      <c r="E229" s="7">
        <v>2.0</v>
      </c>
      <c r="F229" s="1" t="s">
        <v>106</v>
      </c>
    </row>
    <row r="230">
      <c r="A230" s="1" t="s">
        <v>879</v>
      </c>
      <c r="B230" s="1" t="s">
        <v>878</v>
      </c>
      <c r="C230" s="1" t="s">
        <v>30</v>
      </c>
      <c r="D230" s="1" t="s">
        <v>126</v>
      </c>
      <c r="E230" s="7">
        <v>2.0</v>
      </c>
      <c r="F230" s="1" t="s">
        <v>106</v>
      </c>
    </row>
    <row r="231">
      <c r="A231" s="1" t="s">
        <v>880</v>
      </c>
      <c r="B231" s="1" t="s">
        <v>878</v>
      </c>
      <c r="C231" s="1" t="s">
        <v>30</v>
      </c>
      <c r="D231" s="1" t="s">
        <v>25</v>
      </c>
      <c r="E231" s="7">
        <v>5.0</v>
      </c>
      <c r="F231" s="1" t="s">
        <v>119</v>
      </c>
    </row>
    <row r="232">
      <c r="A232" s="1" t="s">
        <v>881</v>
      </c>
      <c r="B232" s="1" t="s">
        <v>878</v>
      </c>
      <c r="C232" s="1" t="s">
        <v>30</v>
      </c>
      <c r="D232" s="1" t="s">
        <v>126</v>
      </c>
      <c r="E232" s="7">
        <v>5.0</v>
      </c>
      <c r="F232" s="1" t="s">
        <v>119</v>
      </c>
    </row>
    <row r="233">
      <c r="A233" s="1" t="s">
        <v>882</v>
      </c>
      <c r="B233" s="1" t="s">
        <v>883</v>
      </c>
      <c r="C233" s="1" t="s">
        <v>30</v>
      </c>
      <c r="D233" s="1" t="s">
        <v>73</v>
      </c>
      <c r="E233" s="7">
        <v>2.0</v>
      </c>
      <c r="F233" s="1" t="s">
        <v>141</v>
      </c>
    </row>
    <row r="234">
      <c r="A234" s="1" t="s">
        <v>884</v>
      </c>
      <c r="B234" s="1" t="s">
        <v>883</v>
      </c>
      <c r="C234" s="1" t="s">
        <v>30</v>
      </c>
      <c r="D234" s="1" t="s">
        <v>127</v>
      </c>
      <c r="E234" s="7">
        <v>2.0</v>
      </c>
      <c r="F234" s="1" t="s">
        <v>141</v>
      </c>
    </row>
    <row r="235">
      <c r="A235" s="1" t="s">
        <v>885</v>
      </c>
      <c r="B235" s="1" t="s">
        <v>886</v>
      </c>
      <c r="C235" s="1" t="s">
        <v>30</v>
      </c>
      <c r="D235" s="1" t="s">
        <v>25</v>
      </c>
      <c r="E235" s="7">
        <v>4.0</v>
      </c>
      <c r="F235" s="1" t="s">
        <v>163</v>
      </c>
    </row>
    <row r="236">
      <c r="A236" s="1" t="s">
        <v>887</v>
      </c>
      <c r="B236" s="1" t="s">
        <v>886</v>
      </c>
      <c r="C236" s="1" t="s">
        <v>30</v>
      </c>
      <c r="D236" s="1" t="s">
        <v>126</v>
      </c>
      <c r="E236" s="7">
        <v>4.0</v>
      </c>
      <c r="F236" s="1" t="s">
        <v>163</v>
      </c>
    </row>
    <row r="237">
      <c r="A237" s="1" t="s">
        <v>888</v>
      </c>
      <c r="B237" s="1" t="s">
        <v>889</v>
      </c>
      <c r="C237" s="1" t="s">
        <v>30</v>
      </c>
      <c r="D237" s="1" t="s">
        <v>25</v>
      </c>
      <c r="E237" s="7">
        <v>1.0</v>
      </c>
      <c r="F237" s="1" t="s">
        <v>82</v>
      </c>
    </row>
    <row r="238">
      <c r="A238" s="1" t="s">
        <v>890</v>
      </c>
      <c r="B238" s="1" t="s">
        <v>889</v>
      </c>
      <c r="C238" s="1" t="s">
        <v>30</v>
      </c>
      <c r="D238" s="1" t="s">
        <v>41</v>
      </c>
      <c r="E238" s="7">
        <v>4.0</v>
      </c>
      <c r="F238" s="1" t="s">
        <v>82</v>
      </c>
    </row>
    <row r="239">
      <c r="A239" s="1" t="s">
        <v>891</v>
      </c>
      <c r="B239" s="1" t="s">
        <v>892</v>
      </c>
      <c r="C239" s="1" t="s">
        <v>30</v>
      </c>
      <c r="D239" s="1" t="s">
        <v>25</v>
      </c>
      <c r="E239" s="7">
        <v>3.0</v>
      </c>
      <c r="F239" s="1" t="s">
        <v>183</v>
      </c>
    </row>
    <row r="240">
      <c r="A240" s="1" t="s">
        <v>893</v>
      </c>
      <c r="B240" s="1" t="s">
        <v>892</v>
      </c>
      <c r="C240" s="1" t="s">
        <v>30</v>
      </c>
      <c r="D240" s="1" t="s">
        <v>58</v>
      </c>
      <c r="E240" s="7">
        <v>1.0</v>
      </c>
      <c r="F240" s="1" t="s">
        <v>183</v>
      </c>
    </row>
    <row r="241">
      <c r="A241" s="1" t="s">
        <v>894</v>
      </c>
      <c r="B241" s="1" t="s">
        <v>892</v>
      </c>
      <c r="C241" s="1" t="s">
        <v>30</v>
      </c>
      <c r="D241" s="1" t="s">
        <v>41</v>
      </c>
      <c r="E241" s="7">
        <v>3.0</v>
      </c>
      <c r="F241" s="1" t="s">
        <v>183</v>
      </c>
    </row>
    <row r="242">
      <c r="A242" s="1" t="s">
        <v>895</v>
      </c>
      <c r="B242" s="1" t="s">
        <v>892</v>
      </c>
      <c r="C242" s="1" t="s">
        <v>30</v>
      </c>
      <c r="D242" s="1" t="s">
        <v>73</v>
      </c>
      <c r="E242" s="7">
        <v>2.0</v>
      </c>
      <c r="F242" s="1" t="s">
        <v>183</v>
      </c>
    </row>
    <row r="243">
      <c r="A243" s="1" t="s">
        <v>896</v>
      </c>
      <c r="B243" s="1" t="s">
        <v>892</v>
      </c>
      <c r="C243" s="1" t="s">
        <v>30</v>
      </c>
      <c r="D243" s="1" t="s">
        <v>126</v>
      </c>
      <c r="E243" s="7">
        <v>1.0</v>
      </c>
      <c r="F243" s="1" t="s">
        <v>183</v>
      </c>
    </row>
    <row r="244">
      <c r="A244" s="1" t="s">
        <v>897</v>
      </c>
      <c r="B244" s="1" t="s">
        <v>892</v>
      </c>
      <c r="C244" s="1" t="s">
        <v>30</v>
      </c>
      <c r="D244" s="1" t="s">
        <v>139</v>
      </c>
      <c r="E244" s="7">
        <v>1.0</v>
      </c>
      <c r="F244" s="1" t="s">
        <v>183</v>
      </c>
    </row>
    <row r="245">
      <c r="A245" s="1" t="s">
        <v>898</v>
      </c>
      <c r="B245" s="1" t="s">
        <v>899</v>
      </c>
      <c r="C245" s="1" t="s">
        <v>30</v>
      </c>
      <c r="D245" s="1" t="s">
        <v>25</v>
      </c>
      <c r="E245" s="7">
        <v>5.0</v>
      </c>
      <c r="F245" s="1" t="s">
        <v>140</v>
      </c>
    </row>
    <row r="246">
      <c r="A246" s="1" t="s">
        <v>900</v>
      </c>
      <c r="B246" s="1" t="s">
        <v>899</v>
      </c>
      <c r="C246" s="1" t="s">
        <v>30</v>
      </c>
      <c r="D246" s="1" t="s">
        <v>41</v>
      </c>
      <c r="E246" s="7">
        <v>4.0</v>
      </c>
      <c r="F246" s="1" t="s">
        <v>140</v>
      </c>
    </row>
    <row r="247">
      <c r="A247" s="1" t="s">
        <v>901</v>
      </c>
      <c r="B247" s="1" t="s">
        <v>899</v>
      </c>
      <c r="C247" s="1" t="s">
        <v>30</v>
      </c>
      <c r="D247" s="1" t="s">
        <v>73</v>
      </c>
      <c r="E247" s="7">
        <v>7.0</v>
      </c>
      <c r="F247" s="1" t="s">
        <v>140</v>
      </c>
    </row>
    <row r="248">
      <c r="A248" s="1" t="s">
        <v>902</v>
      </c>
      <c r="B248" s="1" t="s">
        <v>899</v>
      </c>
      <c r="C248" s="1" t="s">
        <v>30</v>
      </c>
      <c r="D248" s="1" t="s">
        <v>126</v>
      </c>
      <c r="E248" s="7">
        <v>1.0</v>
      </c>
      <c r="F248" s="1" t="s">
        <v>140</v>
      </c>
    </row>
    <row r="249">
      <c r="A249" s="1" t="s">
        <v>903</v>
      </c>
      <c r="B249" s="1" t="s">
        <v>899</v>
      </c>
      <c r="C249" s="1" t="s">
        <v>30</v>
      </c>
      <c r="D249" s="1" t="s">
        <v>139</v>
      </c>
      <c r="E249" s="7">
        <v>4.0</v>
      </c>
      <c r="F249" s="1" t="s">
        <v>140</v>
      </c>
    </row>
    <row r="250">
      <c r="A250" s="1" t="s">
        <v>904</v>
      </c>
      <c r="B250" s="1" t="s">
        <v>905</v>
      </c>
      <c r="C250" s="1" t="s">
        <v>30</v>
      </c>
      <c r="D250" s="1" t="s">
        <v>25</v>
      </c>
      <c r="E250" s="7">
        <v>1.0</v>
      </c>
      <c r="F250" s="1" t="s">
        <v>210</v>
      </c>
    </row>
    <row r="251">
      <c r="A251" s="1" t="s">
        <v>906</v>
      </c>
      <c r="B251" s="1" t="s">
        <v>905</v>
      </c>
      <c r="C251" s="1" t="s">
        <v>30</v>
      </c>
      <c r="D251" s="1" t="s">
        <v>73</v>
      </c>
      <c r="E251" s="7">
        <v>1.0</v>
      </c>
      <c r="F251" s="1" t="s">
        <v>210</v>
      </c>
    </row>
    <row r="252">
      <c r="A252" s="1" t="s">
        <v>907</v>
      </c>
      <c r="B252" s="1" t="s">
        <v>905</v>
      </c>
      <c r="C252" s="1" t="s">
        <v>30</v>
      </c>
      <c r="D252" s="1" t="s">
        <v>127</v>
      </c>
      <c r="E252" s="7">
        <v>3.0</v>
      </c>
      <c r="F252" s="1" t="s">
        <v>210</v>
      </c>
    </row>
    <row r="253">
      <c r="A253" s="1" t="s">
        <v>908</v>
      </c>
      <c r="B253" s="1" t="s">
        <v>905</v>
      </c>
      <c r="C253" s="1" t="s">
        <v>30</v>
      </c>
      <c r="D253" s="1" t="s">
        <v>25</v>
      </c>
      <c r="E253" s="7">
        <v>1.0</v>
      </c>
      <c r="F253" s="1" t="s">
        <v>400</v>
      </c>
    </row>
    <row r="254">
      <c r="A254" s="1" t="s">
        <v>909</v>
      </c>
      <c r="B254" s="1" t="s">
        <v>905</v>
      </c>
      <c r="C254" s="1" t="s">
        <v>30</v>
      </c>
      <c r="D254" s="1" t="s">
        <v>41</v>
      </c>
      <c r="E254" s="7">
        <v>1.0</v>
      </c>
      <c r="F254" s="1" t="s">
        <v>400</v>
      </c>
    </row>
    <row r="255">
      <c r="A255" s="1" t="s">
        <v>910</v>
      </c>
      <c r="B255" s="1" t="s">
        <v>905</v>
      </c>
      <c r="C255" s="1" t="s">
        <v>30</v>
      </c>
      <c r="D255" s="1" t="s">
        <v>127</v>
      </c>
      <c r="E255" s="7">
        <v>1.0</v>
      </c>
      <c r="F255" s="1" t="s">
        <v>400</v>
      </c>
    </row>
    <row r="256">
      <c r="A256" s="1" t="s">
        <v>911</v>
      </c>
      <c r="B256" s="1" t="s">
        <v>912</v>
      </c>
      <c r="C256" s="1" t="s">
        <v>30</v>
      </c>
      <c r="D256" s="1" t="s">
        <v>25</v>
      </c>
      <c r="E256" s="7">
        <v>7.0</v>
      </c>
      <c r="F256" s="1" t="s">
        <v>228</v>
      </c>
    </row>
    <row r="257">
      <c r="A257" s="1" t="s">
        <v>913</v>
      </c>
      <c r="B257" s="1" t="s">
        <v>912</v>
      </c>
      <c r="C257" s="1" t="s">
        <v>30</v>
      </c>
      <c r="D257" s="1" t="s">
        <v>41</v>
      </c>
      <c r="E257" s="7">
        <v>10.0</v>
      </c>
      <c r="F257" s="1" t="s">
        <v>228</v>
      </c>
    </row>
    <row r="258">
      <c r="A258" s="1" t="s">
        <v>914</v>
      </c>
      <c r="B258" s="1" t="s">
        <v>915</v>
      </c>
      <c r="C258" s="1" t="s">
        <v>30</v>
      </c>
      <c r="D258" s="1" t="s">
        <v>25</v>
      </c>
      <c r="E258" s="7">
        <v>70.0</v>
      </c>
      <c r="F258" s="1" t="s">
        <v>68</v>
      </c>
    </row>
    <row r="259">
      <c r="A259" s="1" t="s">
        <v>916</v>
      </c>
      <c r="B259" s="1" t="s">
        <v>915</v>
      </c>
      <c r="C259" s="1" t="s">
        <v>30</v>
      </c>
      <c r="D259" s="1" t="s">
        <v>111</v>
      </c>
      <c r="E259" s="7">
        <v>60.0</v>
      </c>
      <c r="F259" s="1" t="s">
        <v>68</v>
      </c>
    </row>
    <row r="260">
      <c r="A260" s="1" t="s">
        <v>917</v>
      </c>
      <c r="B260" s="1" t="s">
        <v>915</v>
      </c>
      <c r="C260" s="1" t="s">
        <v>30</v>
      </c>
      <c r="D260" s="1" t="s">
        <v>124</v>
      </c>
      <c r="E260" s="7">
        <v>75.0</v>
      </c>
      <c r="F260" s="1" t="s">
        <v>68</v>
      </c>
    </row>
    <row r="261">
      <c r="A261" s="1" t="s">
        <v>918</v>
      </c>
      <c r="B261" s="1" t="s">
        <v>915</v>
      </c>
      <c r="C261" s="1" t="s">
        <v>30</v>
      </c>
      <c r="D261" s="1" t="s">
        <v>25</v>
      </c>
      <c r="E261" s="7">
        <v>3.0</v>
      </c>
      <c r="F261" s="1" t="s">
        <v>247</v>
      </c>
    </row>
    <row r="262">
      <c r="A262" s="1" t="s">
        <v>919</v>
      </c>
      <c r="B262" s="1" t="s">
        <v>915</v>
      </c>
      <c r="C262" s="1" t="s">
        <v>30</v>
      </c>
      <c r="D262" s="1" t="s">
        <v>133</v>
      </c>
      <c r="E262" s="7">
        <v>17.0</v>
      </c>
      <c r="F262" s="1" t="s">
        <v>247</v>
      </c>
    </row>
    <row r="263">
      <c r="A263" s="1" t="s">
        <v>920</v>
      </c>
      <c r="B263" s="1" t="s">
        <v>921</v>
      </c>
      <c r="C263" s="1" t="s">
        <v>30</v>
      </c>
      <c r="D263" s="1" t="s">
        <v>25</v>
      </c>
      <c r="E263" s="7">
        <v>2.0</v>
      </c>
      <c r="F263" s="1" t="s">
        <v>366</v>
      </c>
    </row>
    <row r="264">
      <c r="A264" s="1" t="s">
        <v>922</v>
      </c>
      <c r="B264" s="1" t="s">
        <v>921</v>
      </c>
      <c r="C264" s="1" t="s">
        <v>30</v>
      </c>
      <c r="D264" s="1" t="s">
        <v>41</v>
      </c>
      <c r="E264" s="7">
        <v>2.0</v>
      </c>
      <c r="F264" s="1" t="s">
        <v>366</v>
      </c>
    </row>
    <row r="265">
      <c r="A265" s="1" t="s">
        <v>923</v>
      </c>
      <c r="B265" s="1" t="s">
        <v>924</v>
      </c>
      <c r="C265" s="1" t="s">
        <v>30</v>
      </c>
      <c r="D265" s="1" t="s">
        <v>25</v>
      </c>
      <c r="E265" s="7">
        <v>8.0</v>
      </c>
      <c r="F265" s="1" t="s">
        <v>32</v>
      </c>
    </row>
    <row r="266">
      <c r="A266" s="1" t="s">
        <v>925</v>
      </c>
      <c r="B266" s="1" t="s">
        <v>924</v>
      </c>
      <c r="C266" s="1" t="s">
        <v>30</v>
      </c>
      <c r="D266" s="1" t="s">
        <v>73</v>
      </c>
      <c r="E266" s="7">
        <v>11.0</v>
      </c>
      <c r="F266" s="1" t="s">
        <v>32</v>
      </c>
    </row>
    <row r="267">
      <c r="A267" s="1" t="s">
        <v>926</v>
      </c>
      <c r="B267" s="1" t="s">
        <v>924</v>
      </c>
      <c r="C267" s="1" t="s">
        <v>30</v>
      </c>
      <c r="D267" s="1" t="s">
        <v>126</v>
      </c>
      <c r="E267" s="7">
        <v>3.0</v>
      </c>
      <c r="F267" s="1" t="s">
        <v>32</v>
      </c>
    </row>
    <row r="268">
      <c r="A268" s="1" t="s">
        <v>927</v>
      </c>
      <c r="B268" s="1" t="s">
        <v>928</v>
      </c>
      <c r="C268" s="1" t="s">
        <v>30</v>
      </c>
      <c r="D268" s="1" t="s">
        <v>25</v>
      </c>
      <c r="E268" s="7">
        <v>8.0</v>
      </c>
      <c r="F268" s="1" t="s">
        <v>223</v>
      </c>
    </row>
    <row r="269">
      <c r="A269" s="1" t="s">
        <v>929</v>
      </c>
      <c r="B269" s="1" t="s">
        <v>928</v>
      </c>
      <c r="C269" s="1" t="s">
        <v>30</v>
      </c>
      <c r="D269" s="1" t="s">
        <v>41</v>
      </c>
      <c r="E269" s="7">
        <v>8.0</v>
      </c>
      <c r="F269" s="1" t="s">
        <v>223</v>
      </c>
    </row>
    <row r="270">
      <c r="A270" s="1" t="s">
        <v>930</v>
      </c>
      <c r="B270" s="1" t="s">
        <v>931</v>
      </c>
      <c r="C270" s="1" t="s">
        <v>30</v>
      </c>
      <c r="D270" s="1" t="s">
        <v>25</v>
      </c>
      <c r="E270" s="7">
        <v>4.0</v>
      </c>
      <c r="F270" s="1" t="s">
        <v>414</v>
      </c>
    </row>
    <row r="271">
      <c r="A271" s="1" t="s">
        <v>932</v>
      </c>
      <c r="B271" s="1" t="s">
        <v>931</v>
      </c>
      <c r="C271" s="1" t="s">
        <v>30</v>
      </c>
      <c r="D271" s="1" t="s">
        <v>73</v>
      </c>
      <c r="E271" s="7">
        <v>3.0</v>
      </c>
      <c r="F271" s="1" t="s">
        <v>414</v>
      </c>
    </row>
    <row r="272">
      <c r="A272" s="1" t="s">
        <v>933</v>
      </c>
      <c r="B272" s="1" t="s">
        <v>931</v>
      </c>
      <c r="C272" s="1" t="s">
        <v>30</v>
      </c>
      <c r="D272" s="1" t="s">
        <v>126</v>
      </c>
      <c r="E272" s="7">
        <v>4.0</v>
      </c>
      <c r="F272" s="1" t="s">
        <v>414</v>
      </c>
    </row>
    <row r="273">
      <c r="A273" s="1" t="s">
        <v>934</v>
      </c>
      <c r="B273" s="1" t="s">
        <v>935</v>
      </c>
      <c r="C273" s="1" t="s">
        <v>30</v>
      </c>
      <c r="D273" s="1" t="s">
        <v>25</v>
      </c>
      <c r="E273" s="7">
        <v>2.0</v>
      </c>
      <c r="F273" s="1" t="s">
        <v>424</v>
      </c>
    </row>
    <row r="274">
      <c r="A274" s="1" t="s">
        <v>936</v>
      </c>
      <c r="B274" s="1" t="s">
        <v>935</v>
      </c>
      <c r="C274" s="1" t="s">
        <v>30</v>
      </c>
      <c r="D274" s="1" t="s">
        <v>73</v>
      </c>
      <c r="E274" s="7">
        <v>4.0</v>
      </c>
      <c r="F274" s="1" t="s">
        <v>424</v>
      </c>
    </row>
    <row r="275">
      <c r="A275" s="1" t="s">
        <v>937</v>
      </c>
      <c r="B275" s="1" t="s">
        <v>935</v>
      </c>
      <c r="C275" s="1" t="s">
        <v>30</v>
      </c>
      <c r="D275" s="1" t="s">
        <v>126</v>
      </c>
      <c r="E275" s="7">
        <v>3.0</v>
      </c>
      <c r="F275" s="1" t="s">
        <v>424</v>
      </c>
    </row>
    <row r="276">
      <c r="A276" s="1" t="s">
        <v>938</v>
      </c>
      <c r="B276" s="1" t="s">
        <v>939</v>
      </c>
      <c r="C276" s="1" t="s">
        <v>30</v>
      </c>
      <c r="D276" s="1" t="s">
        <v>25</v>
      </c>
      <c r="E276" s="7">
        <v>3.0</v>
      </c>
      <c r="F276" s="1" t="s">
        <v>263</v>
      </c>
    </row>
    <row r="277">
      <c r="A277" s="1" t="s">
        <v>940</v>
      </c>
      <c r="B277" s="1" t="s">
        <v>939</v>
      </c>
      <c r="C277" s="1" t="s">
        <v>30</v>
      </c>
      <c r="D277" s="1" t="s">
        <v>73</v>
      </c>
      <c r="E277" s="7">
        <v>3.0</v>
      </c>
      <c r="F277" s="1" t="s">
        <v>263</v>
      </c>
    </row>
    <row r="278">
      <c r="A278" s="1" t="s">
        <v>941</v>
      </c>
      <c r="B278" s="1" t="s">
        <v>939</v>
      </c>
      <c r="C278" s="1" t="s">
        <v>30</v>
      </c>
      <c r="D278" s="1" t="s">
        <v>133</v>
      </c>
      <c r="E278" s="7">
        <v>1.0</v>
      </c>
      <c r="F278" s="1" t="s">
        <v>263</v>
      </c>
    </row>
    <row r="279">
      <c r="A279" s="1" t="s">
        <v>942</v>
      </c>
      <c r="B279" s="1" t="s">
        <v>943</v>
      </c>
      <c r="C279" s="1" t="s">
        <v>44</v>
      </c>
      <c r="D279" s="1" t="s">
        <v>129</v>
      </c>
      <c r="E279" s="7">
        <v>238.0</v>
      </c>
      <c r="F279" s="1" t="s">
        <v>140</v>
      </c>
    </row>
    <row r="280">
      <c r="A280" s="1" t="s">
        <v>944</v>
      </c>
      <c r="B280" s="1" t="s">
        <v>945</v>
      </c>
      <c r="C280" s="1" t="s">
        <v>44</v>
      </c>
      <c r="D280" s="1" t="s">
        <v>129</v>
      </c>
      <c r="E280" s="7">
        <v>17.0</v>
      </c>
      <c r="F280" s="1" t="s">
        <v>140</v>
      </c>
    </row>
    <row r="281">
      <c r="A281" s="1" t="s">
        <v>946</v>
      </c>
      <c r="B281" s="1" t="s">
        <v>945</v>
      </c>
      <c r="C281" s="1" t="s">
        <v>44</v>
      </c>
      <c r="D281" s="1" t="s">
        <v>129</v>
      </c>
      <c r="E281" s="7">
        <v>19.0</v>
      </c>
      <c r="F281" s="1" t="s">
        <v>141</v>
      </c>
    </row>
    <row r="282">
      <c r="A282" s="1" t="s">
        <v>947</v>
      </c>
      <c r="B282" s="1" t="s">
        <v>948</v>
      </c>
      <c r="C282" s="1" t="s">
        <v>44</v>
      </c>
      <c r="D282" s="1" t="s">
        <v>129</v>
      </c>
      <c r="E282" s="7">
        <v>2.0</v>
      </c>
      <c r="F282" s="1" t="s">
        <v>228</v>
      </c>
    </row>
    <row r="283">
      <c r="A283" s="1" t="s">
        <v>949</v>
      </c>
      <c r="B283" s="1" t="s">
        <v>948</v>
      </c>
      <c r="C283" s="1" t="s">
        <v>44</v>
      </c>
      <c r="D283" s="1" t="s">
        <v>129</v>
      </c>
      <c r="E283" s="7">
        <v>2.0</v>
      </c>
      <c r="F283" s="1" t="s">
        <v>210</v>
      </c>
    </row>
    <row r="284">
      <c r="A284" s="1" t="s">
        <v>950</v>
      </c>
      <c r="B284" s="1" t="s">
        <v>951</v>
      </c>
      <c r="C284" s="1" t="s">
        <v>44</v>
      </c>
      <c r="D284" s="1" t="s">
        <v>129</v>
      </c>
      <c r="E284" s="7">
        <v>5.0</v>
      </c>
      <c r="F284" s="1" t="s">
        <v>183</v>
      </c>
    </row>
  </sheetData>
  <drawing r:id="rId1"/>
</worksheet>
</file>